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u.nenahova\Desktop\Отчет по людям\Финальная версия здесь\"/>
    </mc:Choice>
  </mc:AlternateContent>
  <bookViews>
    <workbookView xWindow="0" yWindow="0" windowWidth="28740" windowHeight="12240" tabRatio="500"/>
  </bookViews>
  <sheets>
    <sheet name="Форма ввода" sheetId="1" r:id="rId1"/>
    <sheet name="Форма отчета" sheetId="2" state="hidden" r:id="rId2"/>
    <sheet name="Критерии оценки" sheetId="7" state="hidden" r:id="rId3"/>
    <sheet name="Справочник видов работ" sheetId="5" r:id="rId4"/>
    <sheet name="Справочник причин" sheetId="6" r:id="rId5"/>
    <sheet name="Справочник решений" sheetId="9" r:id="rId6"/>
  </sheets>
  <externalReferences>
    <externalReference r:id="rId7"/>
  </externalReferences>
  <definedNames>
    <definedName name="Table">#REF!</definedName>
    <definedName name="Баллы_Все">'Критерии оценки'!$B$22:$B$51</definedName>
    <definedName name="Вес_Выработка">'Критерии оценки'!$B$9</definedName>
    <definedName name="Вес_Дисциплина">'Критерии оценки'!$B$7</definedName>
    <definedName name="Вес_Качество">'Критерии оценки'!$B$6</definedName>
    <definedName name="Вес_Люди">'Критерии оценки'!$B$8</definedName>
    <definedName name="Вес_Чистота">'Критерии оценки'!$B$10</definedName>
    <definedName name="Выполнение">#REF!</definedName>
    <definedName name="ДатаОтчёта">'Форма ввода'!$C$4</definedName>
    <definedName name="ЛДиагрБезПр">OFFSET(#REF!,1,0,MAX(COUNTA(#REF!)-2,1),1)</definedName>
    <definedName name="ЛДиагрДо90">OFFSET(#REF!,1,0,MAX(COUNTA(#REF!)-2,1),1)</definedName>
    <definedName name="ЛДиагрОсь">OFFSET(#REF!,1,0,MAX(COUNTA(#REF!)-2,1),1)</definedName>
    <definedName name="ЛДиагрОт91">OFFSET(#REF!,1,0,MAX(COUNTA(#REF!)-2,1),1)</definedName>
    <definedName name="ЛинГородаОкр1">OFFSET(#REF!,1,0,MAX(COUNTA(#REF!)-2,1),1)</definedName>
    <definedName name="ЛинГородаОкр2">OFFSET(#REF!,1,0,MAX(COUNTA(#REF!)-2,1),1)</definedName>
    <definedName name="ЛинГородаОсь">OFFSET(#REF!,1,0,MAX(COUNTA(#REF!)-2,1),1)</definedName>
    <definedName name="ЛинГородаСум">OFFSET(#REF!,1,0,MAX(COUNTA(#REF!)-2,1),1)</definedName>
    <definedName name="нн">'[1]Критерии оценки'!$B$7</definedName>
    <definedName name="Отклонение">#REF!</definedName>
    <definedName name="План">#REF!</definedName>
    <definedName name="Подрядчики">OFFSET('Форма отчета'!$H$4, 0, 0, COUNTA('Форма отчета'!$H:$H) - COUNTA('Форма отчета'!$H$1:$H$3), 1)</definedName>
    <definedName name="Список_Решений">'Справочник решений'!$A$2:$A$7</definedName>
    <definedName name="Факт">#REF!</definedName>
    <definedName name="Факты_Все">'Критерии оценки'!$C$22:$C$51</definedName>
    <definedName name="Факты_Выработка">'Критерии оценки'!$C$40:$C$45</definedName>
    <definedName name="Факты_Дисциплина">'Критерии оценки'!$C$28:$C$33</definedName>
    <definedName name="Факты_Качество">'Критерии оценки'!$C$22:$C$27</definedName>
    <definedName name="Факты_Люди">'Критерии оценки'!$C$34:$C$39</definedName>
    <definedName name="Факты_Чистота">'Критерии оценки'!$C$46:$C$51</definedName>
    <definedName name="Шкала_Порог">'Критерии оценки'!$A$15:$A$18</definedName>
    <definedName name="Шкала_Уровень">'Критерии оценки'!$C$15:$C$18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13" i="1" l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B4" i="6" l="1"/>
  <c r="B6" i="6" s="1"/>
  <c r="B7" i="6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4" i="5" s="1"/>
  <c r="B25" i="5" s="1"/>
  <c r="B26" i="5" s="1"/>
  <c r="B27" i="5" s="1"/>
  <c r="B28" i="5" s="1"/>
  <c r="B29" i="5" s="1"/>
  <c r="B30" i="5" s="1"/>
  <c r="B11" i="7"/>
  <c r="C11" i="7" s="1"/>
  <c r="K722" i="2"/>
  <c r="J722" i="2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L722" i="2" l="1"/>
</calcChain>
</file>

<file path=xl/sharedStrings.xml><?xml version="1.0" encoding="utf-8"?>
<sst xmlns="http://schemas.openxmlformats.org/spreadsheetml/2006/main" count="494" uniqueCount="183">
  <si>
    <t>ФОРМА ЕЖЕДНЕВНОГО ОТЧЁТА + ОЦЕНКА ПОДРЯДЧИКА</t>
  </si>
  <si>
    <t>Дата отчёта:</t>
  </si>
  <si>
    <t>◄ одна дата на весь отчёт</t>
  </si>
  <si>
    <t>Как заполнять:</t>
  </si>
  <si>
    <t>Вид работы</t>
  </si>
  <si>
    <t>Детализация</t>
  </si>
  <si>
    <t>Подрядчик</t>
  </si>
  <si>
    <t>План</t>
  </si>
  <si>
    <t>Факт</t>
  </si>
  <si>
    <t>Причина</t>
  </si>
  <si>
    <t>Качество</t>
  </si>
  <si>
    <t>Дисциплина</t>
  </si>
  <si>
    <t>Кол-во людей</t>
  </si>
  <si>
    <t>Выработка</t>
  </si>
  <si>
    <t>Чистота</t>
  </si>
  <si>
    <t>Итоговая оценка</t>
  </si>
  <si>
    <t>Собственные силы</t>
  </si>
  <si>
    <t>Электрика</t>
  </si>
  <si>
    <t>Слаботочные сети</t>
  </si>
  <si>
    <t>Вентиляция</t>
  </si>
  <si>
    <t>Отопление</t>
  </si>
  <si>
    <t>Отделка</t>
  </si>
  <si>
    <t>Монтаж текстильных стен</t>
  </si>
  <si>
    <t>Кровля</t>
  </si>
  <si>
    <t>Шторы</t>
  </si>
  <si>
    <t>Двери</t>
  </si>
  <si>
    <t>Мебель</t>
  </si>
  <si>
    <t>Благоустройство</t>
  </si>
  <si>
    <t>ОБЪЕКТ</t>
  </si>
  <si>
    <t>дата отчета</t>
  </si>
  <si>
    <t>ВИД РАБОТЫ</t>
  </si>
  <si>
    <t>ДЕТАЛИЗАЦИЯ</t>
  </si>
  <si>
    <t>ПОДРЯДЧИК</t>
  </si>
  <si>
    <t>ОЦЕНКА КАЧЕСТВА</t>
  </si>
  <si>
    <t>ПЛАН</t>
  </si>
  <si>
    <t>ФАКТ</t>
  </si>
  <si>
    <t>ОТКЛ.</t>
  </si>
  <si>
    <t>ПРИЧИНА</t>
  </si>
  <si>
    <t>нет оплаты</t>
  </si>
  <si>
    <t>нет готовности</t>
  </si>
  <si>
    <t>нет материалов</t>
  </si>
  <si>
    <t>Итог</t>
  </si>
  <si>
    <t>Категория</t>
  </si>
  <si>
    <t>ID_категории</t>
  </si>
  <si>
    <t>Демонтаж</t>
  </si>
  <si>
    <t>Разнорабочие</t>
  </si>
  <si>
    <t>Монолит</t>
  </si>
  <si>
    <t>Кладка</t>
  </si>
  <si>
    <t>Металл</t>
  </si>
  <si>
    <t>Фасад</t>
  </si>
  <si>
    <t>Окна ПВХ</t>
  </si>
  <si>
    <t>ВК</t>
  </si>
  <si>
    <t>НО/НЭС</t>
  </si>
  <si>
    <t>Н В К</t>
  </si>
  <si>
    <t>Наружные сети связи</t>
  </si>
  <si>
    <t>Теплотрасса</t>
  </si>
  <si>
    <t>Огнезащита</t>
  </si>
  <si>
    <t>Котельная (ИТП)</t>
  </si>
  <si>
    <t>Лифт</t>
  </si>
  <si>
    <t>Устройство свай</t>
  </si>
  <si>
    <t>ID_причины</t>
  </si>
  <si>
    <t>• Голубое — Факт, Причина и Решение. Серое — оценка подрядчика: выберите факт из списка.</t>
  </si>
  <si>
    <t>• Решение («Отправить претензию» / «Заменить подрядчика») выбирается вручную и переносится в отчёт вместе с данными.</t>
  </si>
  <si>
    <t>Решение</t>
  </si>
  <si>
    <t>РЕШЕНИЕ</t>
  </si>
  <si>
    <t>КАЧЕСТВО РАБОТ</t>
  </si>
  <si>
    <t>ДИСЦИПЛИНА</t>
  </si>
  <si>
    <t>КОЛ-ВО ЛЮДЕЙ</t>
  </si>
  <si>
    <t>ВЫРАБОТКА</t>
  </si>
  <si>
    <t>ЧИСТОТА</t>
  </si>
  <si>
    <t>КРИТЕРИИ ОЦЕНКИ ПОДРЯДЧИКА</t>
  </si>
  <si>
    <t>РП выбирает в форме ввода один факт по каждому критерию — система подставляет скрытый балл (0–5) и считает средневзвешенную итоговую оценку. Решение по подрядчику РП выбирает вручную в форме ввода.</t>
  </si>
  <si>
    <t>1. ВЕСА КРИТЕРИЕВ (сумма должна быть 100%)</t>
  </si>
  <si>
    <t>Критерий</t>
  </si>
  <si>
    <t>Вес</t>
  </si>
  <si>
    <t>← вес меняется вручную</t>
  </si>
  <si>
    <t>Решение РП</t>
  </si>
  <si>
    <t>Качество выполнения работ</t>
  </si>
  <si>
    <t>Отправить претензию</t>
  </si>
  <si>
    <t>Дисциплина (ТБ, охрана труда, СИЗ)</t>
  </si>
  <si>
    <t>Количество людей на объекте</t>
  </si>
  <si>
    <t>Выполнение запланированного объёма</t>
  </si>
  <si>
    <t>Чистота на рабочем месте</t>
  </si>
  <si>
    <t>ИТОГО</t>
  </si>
  <si>
    <t>2. ШКАЛА ИТОГОВОЙ ОЦЕНКИ (справочно)</t>
  </si>
  <si>
    <t>Балл (от)</t>
  </si>
  <si>
    <t>Диапазон</t>
  </si>
  <si>
    <t>Уровень</t>
  </si>
  <si>
    <t>0,0 – 2,4</t>
  </si>
  <si>
    <t>Критично</t>
  </si>
  <si>
    <t>2,5 – 3,4</t>
  </si>
  <si>
    <t>Требует внимания</t>
  </si>
  <si>
    <t>3,5 – 4,4</t>
  </si>
  <si>
    <t>Хорошо</t>
  </si>
  <si>
    <t>4,5 – 5,0</t>
  </si>
  <si>
    <t>Отлично</t>
  </si>
  <si>
    <t>3. СПРАВОЧНИК ФАКТОВ (балл подставляется системой, в форме ввода виден только текст)</t>
  </si>
  <si>
    <t>Балл</t>
  </si>
  <si>
    <t>Факт для выбора (видит РП)</t>
  </si>
  <si>
    <t>Замечаний и предписаний СК нет</t>
  </si>
  <si>
    <t/>
  </si>
  <si>
    <t>Несущественные замечания, устранены в срок</t>
  </si>
  <si>
    <t>Несущественные замечания, устраняются с задержкой</t>
  </si>
  <si>
    <t>Работы не приняты: неустранимый брак</t>
  </si>
  <si>
    <t>Все в СИЗ, нарушений ТБ нет</t>
  </si>
  <si>
    <t>Единичные нарушения (1–2 чел.), сразу устранены</t>
  </si>
  <si>
    <t>Регулярно нарушают 10–20% работников</t>
  </si>
  <si>
    <t>Более 30% без СИЗ или грубые нарушения ТБ</t>
  </si>
  <si>
    <t>Без СИЗ более половины бригады, работы остановлены</t>
  </si>
  <si>
    <t>Отказ соблюдать ТБ, работы запрещены</t>
  </si>
  <si>
    <t>Явка менее 30%, срыв смены</t>
  </si>
  <si>
    <t>Ежедневная уборка, замечаний нет</t>
  </si>
  <si>
    <t>Мелкий мусор, убирают после замечания</t>
  </si>
  <si>
    <t>Уборка не ежедневная, убирают после напоминания</t>
  </si>
  <si>
    <t>Убирают после нескольких напоминаний</t>
  </si>
  <si>
    <t>Уборка не производится, мусор не вывозится</t>
  </si>
  <si>
    <t>Захламлено, угроза безопасности</t>
  </si>
  <si>
    <t>Критическое замечание (брак) - впервые</t>
  </si>
  <si>
    <t>Критическое замечание - повторно</t>
  </si>
  <si>
    <t>• Итоговая оценка (0–5) считается автоматически как средневзвешенная по 5 критериям.</t>
  </si>
  <si>
    <t>Явка 90-100% от реальной потребности</t>
  </si>
  <si>
    <t>Явка 75–90%</t>
  </si>
  <si>
    <t>Явка 60–75%</t>
  </si>
  <si>
    <t>Явка 45–60%</t>
  </si>
  <si>
    <t>Явка 30–45%</t>
  </si>
  <si>
    <t>План выполнен на 90-100%</t>
  </si>
  <si>
    <t>Выполнено 75–90%</t>
  </si>
  <si>
    <t>Выполнено 60–75%</t>
  </si>
  <si>
    <t>Выполнено 45–60%</t>
  </si>
  <si>
    <t>Выполнено 30–45%</t>
  </si>
  <si>
    <t>Выполнено менее 30%, план провален</t>
  </si>
  <si>
    <t>нет подрядчика</t>
  </si>
  <si>
    <t>нет проекта</t>
  </si>
  <si>
    <t>фронт и материалы есть, нет людей</t>
  </si>
  <si>
    <t>Отправить уведомление со сроком устранения</t>
  </si>
  <si>
    <t>Не принял решений</t>
  </si>
  <si>
    <t>подводит подрядчик</t>
  </si>
  <si>
    <t>Югорская долина г. Ханты-Мансийск</t>
  </si>
  <si>
    <t>ИП Дубяга Г.Г</t>
  </si>
  <si>
    <t>ИТР</t>
  </si>
  <si>
    <t>Электрики</t>
  </si>
  <si>
    <t>Слаботочники</t>
  </si>
  <si>
    <t>Подсобный рабочий</t>
  </si>
  <si>
    <t>ООО Мега</t>
  </si>
  <si>
    <t>ООО ИНПАРТ</t>
  </si>
  <si>
    <t>ИП Поломошнов</t>
  </si>
  <si>
    <t>Лидер СМК</t>
  </si>
  <si>
    <t>ИП Долгушев</t>
  </si>
  <si>
    <t>ИП Ташимов Р.М.</t>
  </si>
  <si>
    <t>ООО Эвикс</t>
  </si>
  <si>
    <t>ИП Хамурзаева Р.Р.</t>
  </si>
  <si>
    <t>ИП Назирбоева</t>
  </si>
  <si>
    <t>ИП Мнацаканян</t>
  </si>
  <si>
    <t>ИП Каюмова</t>
  </si>
  <si>
    <t>ИП Степанян</t>
  </si>
  <si>
    <t>ЮСП</t>
  </si>
  <si>
    <t>ИП Фугловский</t>
  </si>
  <si>
    <t>ООО ЛИДЕР СМК</t>
  </si>
  <si>
    <t>ИП Магомедов</t>
  </si>
  <si>
    <t>Квадратный метр (М2)</t>
  </si>
  <si>
    <t>ИП Попов</t>
  </si>
  <si>
    <t>Дрим Хом</t>
  </si>
  <si>
    <t>Спицина</t>
  </si>
  <si>
    <t>Форест</t>
  </si>
  <si>
    <t>Союз-М</t>
  </si>
  <si>
    <t>Ограждения</t>
  </si>
  <si>
    <t>ИП Терехин</t>
  </si>
  <si>
    <t>РМК (А(</t>
  </si>
  <si>
    <t>ТМ 360</t>
  </si>
  <si>
    <t>Устраняет замечания</t>
  </si>
  <si>
    <t>Архитектурные кухни</t>
  </si>
  <si>
    <t>Затребовано усиление</t>
  </si>
  <si>
    <t>Оборудование кухонь</t>
  </si>
  <si>
    <t>Технология питания</t>
  </si>
  <si>
    <t>ТД Атланта</t>
  </si>
  <si>
    <t>ИП Елькин</t>
  </si>
  <si>
    <t>Концепт</t>
  </si>
  <si>
    <t>Перегородки</t>
  </si>
  <si>
    <t>АМИ-Групп</t>
  </si>
  <si>
    <t>Отпуск или командировка</t>
  </si>
  <si>
    <t>Пятница</t>
  </si>
  <si>
    <t>Подрядчик не выбран - нужно найти</t>
  </si>
  <si>
    <t>Заменить действующего подрядчика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</si>
</sst>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.mm\.yyyy"/>
    <numFmt numFmtId="165" formatCode="#,##0.0"/>
  </numFmts>
  <fonts count="20" x14ac:knownFonts="1">
    <font>
      <sz val="11"/>
      <color theme="1"/>
      <name val="Segoe UI"/>
      <family val="2"/>
      <charset val="204"/>
    </font>
    <font>
      <b/>
      <sz val="13"/>
      <color rgb="FFFFFFFF"/>
      <name val="Arial"/>
      <family val="2"/>
      <charset val="204"/>
    </font>
    <font>
      <b/>
      <sz val="11"/>
      <name val="Arial"/>
      <family val="2"/>
      <charset val="204"/>
    </font>
    <font>
      <i/>
      <sz val="9"/>
      <color rgb="FF808080"/>
      <name val="Arial"/>
      <family val="2"/>
      <charset val="204"/>
    </font>
    <font>
      <b/>
      <sz val="10"/>
      <name val="Arial"/>
      <family val="2"/>
      <charset val="204"/>
    </font>
    <font>
      <b/>
      <sz val="9"/>
      <color rgb="FFFFFFFF"/>
      <name val="Arial"/>
      <family val="2"/>
      <charset val="204"/>
    </font>
    <font>
      <sz val="10"/>
      <name val="Arial"/>
      <family val="2"/>
      <charset val="204"/>
    </font>
    <font>
      <b/>
      <sz val="10"/>
      <color rgb="FF375623"/>
      <name val="Arial"/>
      <family val="2"/>
      <charset val="204"/>
    </font>
    <font>
      <b/>
      <sz val="11"/>
      <color rgb="FF375623"/>
      <name val="Arial"/>
      <family val="2"/>
      <charset val="204"/>
    </font>
    <font>
      <sz val="10"/>
      <color theme="1"/>
      <name val="Segoe UI"/>
      <family val="2"/>
      <charset val="204"/>
    </font>
    <font>
      <sz val="10"/>
      <color theme="1" tint="0.49989318521683401"/>
      <name val="Segoe UI"/>
      <family val="2"/>
      <charset val="204"/>
    </font>
    <font>
      <b/>
      <sz val="10"/>
      <color theme="1"/>
      <name val="Segoe UI"/>
      <family val="2"/>
      <charset val="204"/>
    </font>
    <font>
      <b/>
      <sz val="10"/>
      <name val="Segoe UI"/>
      <family val="2"/>
      <charset val="204"/>
    </font>
    <font>
      <b/>
      <sz val="10"/>
      <color theme="1" tint="0.49989318521683401"/>
      <name val="Segoe UI"/>
      <family val="2"/>
      <charset val="204"/>
    </font>
    <font>
      <sz val="11"/>
      <name val="Segoe UI"/>
      <family val="2"/>
      <charset val="204"/>
    </font>
    <font>
      <b/>
      <sz val="12"/>
      <color theme="3" tint="0.249977111117893"/>
      <name val="Arial"/>
      <family val="2"/>
      <charset val="204"/>
    </font>
    <font>
      <b/>
      <sz val="11"/>
      <color theme="3" tint="0.249977111117893"/>
      <name val="Segoe UI"/>
      <family val="2"/>
      <charset val="204"/>
    </font>
    <font>
      <b/>
      <sz val="11"/>
      <color rgb="FF305496"/>
      <name val="Segoe UI"/>
      <family val="2"/>
      <charset val="204"/>
    </font>
    <font>
      <b/>
      <sz val="10"/>
      <color theme="3" tint="0.249977111117893"/>
      <name val="Arial"/>
      <family val="2"/>
      <charset val="204"/>
    </font>
    <font>
      <b/>
      <sz val="11"/>
      <color theme="0"/>
      <name val="Segoe U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305496"/>
        <bgColor rgb="FF4472C4"/>
      </patternFill>
    </fill>
    <fill>
      <patternFill patternType="solid">
        <fgColor rgb="FFF2F2F2"/>
        <bgColor rgb="FFE2EFDA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3" tint="0.89999084444715716"/>
        <bgColor rgb="FFF2F2F2"/>
      </patternFill>
    </fill>
    <fill>
      <patternFill patternType="solid">
        <fgColor theme="3" tint="0.249977111117893"/>
        <bgColor rgb="FF666699"/>
      </patternFill>
    </fill>
    <fill>
      <patternFill patternType="solid">
        <fgColor theme="0" tint="-0.34998626667073579"/>
        <bgColor rgb="FF339966"/>
      </patternFill>
    </fill>
    <fill>
      <patternFill patternType="solid">
        <fgColor theme="0" tint="-0.499984740745262"/>
        <bgColor rgb="FF333300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/>
    <xf numFmtId="0" fontId="2" fillId="0" borderId="0" xfId="0" applyFont="1" applyAlignment="1"/>
    <xf numFmtId="0" fontId="4" fillId="0" borderId="0" xfId="0" applyFont="1" applyAlignment="1"/>
    <xf numFmtId="0" fontId="9" fillId="0" borderId="0" xfId="0" applyFont="1" applyAlignment="1"/>
    <xf numFmtId="0" fontId="9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11" fillId="0" borderId="0" xfId="0" applyFont="1" applyAlignment="1"/>
    <xf numFmtId="165" fontId="12" fillId="3" borderId="0" xfId="0" applyNumberFormat="1" applyFont="1" applyFill="1" applyAlignment="1">
      <alignment horizontal="center" vertical="center" wrapText="1"/>
    </xf>
    <xf numFmtId="3" fontId="12" fillId="3" borderId="0" xfId="0" applyNumberFormat="1" applyFont="1" applyFill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3" fontId="9" fillId="0" borderId="3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3" fontId="9" fillId="0" borderId="2" xfId="0" applyNumberFormat="1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 vertical="center" wrapText="1"/>
    </xf>
    <xf numFmtId="3" fontId="10" fillId="0" borderId="2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10" fillId="0" borderId="4" xfId="0" applyNumberFormat="1" applyFont="1" applyBorder="1" applyAlignment="1">
      <alignment horizontal="center" vertical="center"/>
    </xf>
    <xf numFmtId="3" fontId="10" fillId="0" borderId="4" xfId="0" applyNumberFormat="1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4" fillId="0" borderId="0" xfId="0" applyFont="1" applyAlignment="1"/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3" fontId="9" fillId="0" borderId="5" xfId="0" applyNumberFormat="1" applyFont="1" applyBorder="1" applyAlignment="1">
      <alignment horizontal="center" vertical="center"/>
    </xf>
    <xf numFmtId="3" fontId="10" fillId="0" borderId="5" xfId="0" applyNumberFormat="1" applyFont="1" applyBorder="1" applyAlignment="1">
      <alignment horizontal="center" vertical="center"/>
    </xf>
    <xf numFmtId="3" fontId="10" fillId="0" borderId="5" xfId="0" applyNumberFormat="1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/>
    </xf>
    <xf numFmtId="165" fontId="11" fillId="0" borderId="5" xfId="0" applyNumberFormat="1" applyFont="1" applyBorder="1" applyAlignment="1">
      <alignment horizontal="center" vertical="center"/>
    </xf>
    <xf numFmtId="3" fontId="11" fillId="0" borderId="5" xfId="0" applyNumberFormat="1" applyFont="1" applyBorder="1" applyAlignment="1">
      <alignment horizontal="center" vertical="center"/>
    </xf>
    <xf numFmtId="14" fontId="11" fillId="3" borderId="0" xfId="0" applyNumberFormat="1" applyFont="1" applyFill="1" applyAlignment="1">
      <alignment horizontal="center" vertical="center" wrapText="1"/>
    </xf>
    <xf numFmtId="14" fontId="9" fillId="0" borderId="2" xfId="0" applyNumberFormat="1" applyFont="1" applyBorder="1" applyAlignment="1">
      <alignment horizontal="center" vertical="center"/>
    </xf>
    <xf numFmtId="14" fontId="9" fillId="0" borderId="5" xfId="0" applyNumberFormat="1" applyFont="1" applyBorder="1" applyAlignment="1">
      <alignment horizontal="center" vertical="center"/>
    </xf>
    <xf numFmtId="14" fontId="11" fillId="0" borderId="5" xfId="0" applyNumberFormat="1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3" fillId="0" borderId="0" xfId="0" applyFont="1" applyBorder="1" applyAlignment="1"/>
    <xf numFmtId="0" fontId="7" fillId="10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6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/>
    </xf>
    <xf numFmtId="9" fontId="6" fillId="5" borderId="1" xfId="0" applyNumberFormat="1" applyFont="1" applyFill="1" applyBorder="1" applyAlignment="1">
      <alignment horizontal="center" vertical="center"/>
    </xf>
    <xf numFmtId="165" fontId="8" fillId="9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6" fillId="0" borderId="6" xfId="0" applyFont="1" applyBorder="1" applyAlignment="1">
      <alignment horizontal="left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0" fillId="0" borderId="9" xfId="0" applyBorder="1" applyAlignment="1">
      <alignment horizontal="center" vertical="center"/>
    </xf>
    <xf numFmtId="0" fontId="19" fillId="11" borderId="9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 applyBorder="1" applyAlignment="1"/>
    <xf numFmtId="164" fontId="15" fillId="4" borderId="1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/>
  </cellXfs>
  <cellStyles count="1">
    <cellStyle name="Обычный" xfId="0" builtinId="0"/>
  </cellStyles>
  <dxfs count="47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49989318521683401"/>
        <name val="Segoe U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49989318521683401"/>
        <name val="Segoe U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49989318521683401"/>
        <name val="Segoe U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49989318521683401"/>
        <name val="Segoe U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49989318521683401"/>
        <name val="Segoe U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49989318521683401"/>
        <name val="Segoe U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49989318521683401"/>
        <name val="Segoe U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rgb="FFBFBFBF"/>
        </top>
        <bottom style="thin">
          <color rgb="FFBFBFBF"/>
        </bottom>
        <vertical/>
        <horizontal/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center" textRotation="0" wrapText="1" indent="0" justifyLastLine="0" shrinkToFit="0" readingOrder="0"/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rial"/>
        <scheme val="none"/>
      </font>
      <fill>
        <patternFill patternType="solid">
          <fgColor rgb="FF666699"/>
          <bgColor theme="3" tint="0.249977111117893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strike val="0"/>
        <outline val="0"/>
        <shadow val="0"/>
        <u val="none"/>
        <vertAlign val="baseline"/>
        <sz val="11"/>
        <color theme="3" tint="0.249977111117893"/>
        <name val="Segoe UI"/>
        <scheme val="none"/>
      </font>
    </dxf>
    <dxf>
      <font>
        <strike val="0"/>
        <outline val="0"/>
        <shadow val="0"/>
        <u val="none"/>
        <vertAlign val="baseline"/>
        <sz val="11"/>
        <color theme="3" tint="0.249977111117893"/>
        <name val="Segoe UI"/>
        <scheme val="none"/>
      </font>
    </dxf>
    <dxf>
      <numFmt numFmtId="19" formatCode="m/d/yyyy"/>
    </dxf>
    <dxf>
      <fill>
        <patternFill patternType="solid">
          <fgColor rgb="FFD9D9D9"/>
          <bgColor theme="0" tint="-0.14999847407452621"/>
        </patternFill>
      </fill>
      <border outline="0">
        <left style="thin">
          <color rgb="FFBFBFBF"/>
        </left>
      </border>
    </dxf>
    <dxf>
      <fill>
        <patternFill patternType="solid">
          <fgColor indexed="64"/>
          <bgColor theme="0" tint="-4.9989318521683403E-2"/>
        </patternFill>
      </fill>
      <border outline="0">
        <left style="thin">
          <color rgb="FFBFBFBF"/>
        </left>
        <right style="thin">
          <color rgb="FFBFBFBF"/>
        </right>
      </border>
    </dxf>
    <dxf>
      <fill>
        <patternFill patternType="solid">
          <fgColor indexed="64"/>
          <bgColor theme="0" tint="-4.9989318521683403E-2"/>
        </patternFill>
      </fill>
      <border outline="0">
        <left style="thin">
          <color rgb="FFBFBFBF"/>
        </left>
        <right style="thin">
          <color rgb="FFBFBFBF"/>
        </right>
      </border>
    </dxf>
    <dxf>
      <fill>
        <patternFill patternType="solid">
          <fgColor indexed="64"/>
          <bgColor theme="0" tint="-4.9989318521683403E-2"/>
        </patternFill>
      </fill>
      <border outline="0">
        <left style="thin">
          <color rgb="FFBFBFBF"/>
        </left>
        <right style="thin">
          <color rgb="FFBFBFBF"/>
        </right>
      </border>
    </dxf>
    <dxf>
      <fill>
        <patternFill patternType="solid">
          <fgColor indexed="64"/>
          <bgColor theme="0" tint="-4.9989318521683403E-2"/>
        </patternFill>
      </fill>
      <border outline="0">
        <left style="thin">
          <color rgb="FFBFBFBF"/>
        </left>
        <right style="thin">
          <color rgb="FFBFBFBF"/>
        </right>
      </border>
    </dxf>
    <dxf>
      <fill>
        <patternFill patternType="solid">
          <fgColor indexed="64"/>
          <bgColor theme="0" tint="-4.9989318521683403E-2"/>
        </patternFill>
      </fill>
      <border outline="0">
        <left style="thin">
          <color rgb="FFBFBFBF"/>
        </left>
        <right style="thin">
          <color rgb="FFBFBFBF"/>
        </right>
      </border>
    </dxf>
    <dxf>
      <font>
        <strike val="0"/>
        <outline val="0"/>
        <shadow val="0"/>
        <u val="none"/>
        <vertAlign val="baseline"/>
        <sz val="10"/>
        <color theme="3" tint="0.249977111117893"/>
        <name val="Arial"/>
        <scheme val="none"/>
      </font>
      <fill>
        <patternFill patternType="solid">
          <fgColor rgb="FFF2F2F2"/>
          <bgColor theme="3" tint="0.89999084444715716"/>
        </patternFill>
      </fill>
      <border outline="0">
        <left style="thin">
          <color rgb="FFBFBFBF"/>
        </left>
        <right style="thin">
          <color rgb="FFBFBFBF"/>
        </right>
      </border>
    </dxf>
    <dxf>
      <font>
        <strike val="0"/>
        <outline val="0"/>
        <shadow val="0"/>
        <u val="none"/>
        <vertAlign val="baseline"/>
        <sz val="10"/>
        <color theme="3" tint="0.249977111117893"/>
        <name val="Arial"/>
        <scheme val="none"/>
      </font>
      <fill>
        <patternFill patternType="solid">
          <fgColor rgb="FFF2F2F2"/>
          <bgColor theme="3" tint="0.89999084444715716"/>
        </patternFill>
      </fill>
      <border outline="0">
        <left style="thin">
          <color rgb="FFBFBFBF"/>
        </left>
        <right style="thin">
          <color rgb="FFBFBFBF"/>
        </right>
      </border>
    </dxf>
    <dxf>
      <font>
        <sz val="10"/>
        <color auto="1"/>
        <name val="Arial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10"/>
        <color auto="1"/>
        <name val="Arial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10"/>
        <color auto="1"/>
        <name val="Arial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10"/>
        <color auto="1"/>
        <name val="Arial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E699"/>
      <rgbColor rgb="FF99CCFF"/>
      <rgbColor rgb="FFFF99CC"/>
      <rgbColor rgb="FFCC99FF"/>
      <rgbColor rgb="FFC6E0B4"/>
      <rgbColor rgb="FF4472C4"/>
      <rgbColor rgb="FF33CCCC"/>
      <rgbColor rgb="FF99CC00"/>
      <rgbColor rgb="FFFFCC00"/>
      <rgbColor rgb="FFFF9900"/>
      <rgbColor rgb="FFFF6600"/>
      <rgbColor rgb="FF666699"/>
      <rgbColor rgb="FF7F7F7F"/>
      <rgbColor rgb="FF003366"/>
      <rgbColor rgb="FF339966"/>
      <rgbColor rgb="FF003300"/>
      <rgbColor rgb="FF333300"/>
      <rgbColor rgb="FF993300"/>
      <rgbColor rgb="FF993366"/>
      <rgbColor rgb="FF305496"/>
      <rgbColor rgb="FF37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228600</xdr:colOff>
          <xdr:row>3</xdr:row>
          <xdr:rowOff>28575</xdr:rowOff>
        </xdr:from>
        <xdr:to>
          <xdr:col>9</xdr:col>
          <xdr:colOff>457200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05496"/>
                  </a:solidFill>
                  <a:latin typeface="Segoe UI"/>
                  <a:cs typeface="Segoe UI"/>
                </a:rPr>
                <a:t>Записать данные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&#1054;&#1090;&#1095;&#1077;&#1090;&#1085;&#1086;&#1089;&#1090;&#1100;%20&#1087;&#1086;%20&#1087;&#1083;&#1086;&#1097;&#1072;&#1076;&#1082;&#1072;&#1084;\&#1070;&#1075;&#1086;&#1088;&#1089;&#1082;&#1072;&#1103;%20&#1076;&#1086;&#1083;&#1080;&#1085;&#1072;%20&#1075;.%20&#1061;&#1072;&#1085;&#1090;&#1099;-&#1052;&#1072;&#1085;&#1089;&#1080;&#1081;&#1089;&#1082;\&#1051;&#1070;&#1044;&#1048;_&#1080;_&#1050;&#1040;&#1063;&#1045;&#1057;&#1058;&#1042;&#105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Форма ввода"/>
      <sheetName val="Форма отчета"/>
      <sheetName val="Критерии оценки"/>
      <sheetName val="Справочник видов работ"/>
      <sheetName val="Справочник причин"/>
    </sheetNames>
    <sheetDataSet>
      <sheetData sheetId="0"/>
      <sheetData sheetId="1"/>
      <sheetData sheetId="2">
        <row r="7">
          <cell r="B7">
            <v>0.2</v>
          </cell>
        </row>
      </sheetData>
      <sheetData sheetId="3"/>
      <sheetData sheetId="4"/>
    </sheetDataSet>
  </externalBook>
</externalLink>
</file>

<file path=xl/tables/table1.xml><?xml version="1.0" encoding="utf-8"?>
<table xmlns="http://schemas.openxmlformats.org/spreadsheetml/2006/main" id="6" name="ФормаВвода" displayName="ФормаВвода" ref="B12:N51" totalsRowShown="0">
  <autoFilter ref="B12:N51"/>
  <tableColumns count="13">
    <tableColumn id="1" name="Вид работы" dataDxfId="46"/>
    <tableColumn id="2" name="Детализация" dataDxfId="45"/>
    <tableColumn id="3" name="Подрядчик" dataDxfId="44"/>
    <tableColumn id="4" name="План" dataDxfId="43"/>
    <tableColumn id="5" name="Факт" dataDxfId="42"/>
    <tableColumn id="6" name="Причина" dataDxfId="41"/>
    <tableColumn id="7" name="Качество" dataDxfId="40"/>
    <tableColumn id="8" name="Дисциплина" dataDxfId="39"/>
    <tableColumn id="9" name="Кол-во людей" dataDxfId="38"/>
    <tableColumn id="10" name="Выработка" dataDxfId="37"/>
    <tableColumn id="11" name="Чистота" dataDxfId="36"/>
    <tableColumn id="12" name="Итоговая оценка" dataDxfId="35"/>
    <tableColumn id="13" name="Решение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Данные_Когалым" displayName="Данные_Когалым" ref="E3:S722" totalsRowCount="1">
  <autoFilter ref="E3:S721">
    <filterColumn colId="0">
      <customFilters>
        <customFilter operator="notEqual" val=" "/>
      </customFilters>
    </filterColumn>
  </autoFilter>
  <tableColumns count="15">
    <tableColumn id="1" name="дата отчета" totalsRowLabel="Итог" dataDxfId="34" totalsRowDxfId="14"/>
    <tableColumn id="3" name="ВИД РАБОТЫ" totalsRowDxfId="13"/>
    <tableColumn id="4" name="ДЕТАЛИЗАЦИЯ" totalsRowDxfId="12"/>
    <tableColumn id="5" name="ПОДРЯДЧИК" totalsRowDxfId="11"/>
    <tableColumn id="7" name="ОЦЕНКА КАЧЕСТВА" totalsRowDxfId="10"/>
    <tableColumn id="8" name="ПЛАН" totalsRowFunction="sum" totalsRowDxfId="9"/>
    <tableColumn id="9" name="ФАКТ" totalsRowFunction="sum" totalsRowDxfId="8"/>
    <tableColumn id="10" name="ОТКЛ." totalsRowFunction="custom" totalsRowDxfId="7">
      <totalsRowFormula>Данные_Когалым[[#Totals],[ФАКТ]]-Данные_Когалым[[#Totals],[ПЛАН]]</totalsRowFormula>
    </tableColumn>
    <tableColumn id="11" name="ПРИЧИНА" totalsRowDxfId="6"/>
    <tableColumn id="12" name="РЕШЕНИЕ" totalsRowDxfId="5"/>
    <tableColumn id="13" name="КАЧЕСТВО РАБОТ" totalsRowDxfId="4"/>
    <tableColumn id="14" name="ДИСЦИПЛИНА" totalsRowDxfId="3"/>
    <tableColumn id="15" name="КОЛ-ВО ЛЮДЕЙ" totalsRowDxfId="2"/>
    <tableColumn id="16" name="ВЫРАБОТКА" totalsRowDxfId="1"/>
    <tableColumn id="17" name="ЧИСТОТА" totalsRow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2" name="Справочник_категорий" displayName="Справочник_категорий" ref="A1:B36" totalsRowShown="0" headerRowDxfId="33">
  <autoFilter ref="A1:B36"/>
  <tableColumns count="2">
    <tableColumn id="1" name="Категория"/>
    <tableColumn id="2" name="ID_категории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Справочник_причин" displayName="Справочник_причин" ref="A1:B9" totalsRowShown="0" headerRowDxfId="32">
  <autoFilter ref="A1:B9"/>
  <tableColumns count="2">
    <tableColumn id="1" name="Причина" dataDxfId="31"/>
    <tableColumn id="2" name="ID_причины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3" name="Решения" displayName="Решения" ref="A1:A7" totalsRowShown="0" headerRowDxfId="30" dataDxfId="28" headerRowBorderDxfId="29" tableBorderDxfId="27" totalsRowBorderDxfId="26">
  <autoFilter ref="A1:A7"/>
  <tableColumns count="1">
    <tableColumn id="1" name="Решение РП" dataDxfId="2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N51"/>
  <sheetViews>
    <sheetView showGridLines="0" tabSelected="1" zoomScaleNormal="100" workbookViewId="0">
      <pane xSplit="1" ySplit="12" topLeftCell="B37" activePane="bottomRight" state="frozen"/>
      <selection pane="topRight" activeCell="B1" sqref="B1"/>
      <selection pane="bottomLeft" activeCell="A13" sqref="A13"/>
      <selection pane="bottomRight" activeCell="N41" sqref="N41"/>
    </sheetView>
  </sheetViews>
  <sheetFormatPr defaultColWidth="8.5" defaultRowHeight="16.5" x14ac:dyDescent="0.3"/>
  <cols>
    <col min="1" max="1" width="3" style="1" customWidth="1"/>
    <col min="2" max="2" width="22" style="1" customWidth="1"/>
    <col min="3" max="3" width="16" style="1" customWidth="1"/>
    <col min="4" max="4" width="22" style="1" customWidth="1"/>
    <col min="5" max="6" width="7" style="1" customWidth="1"/>
    <col min="7" max="7" width="20" style="1" customWidth="1"/>
    <col min="8" max="12" width="21" style="1" customWidth="1"/>
    <col min="13" max="13" width="12" style="1" hidden="1" customWidth="1"/>
    <col min="14" max="14" width="22" style="1" customWidth="1"/>
  </cols>
  <sheetData>
    <row r="2" spans="2:14" ht="15.75" customHeight="1" x14ac:dyDescent="0.3">
      <c r="B2" s="73" t="s">
        <v>0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</row>
    <row r="4" spans="2:14" ht="15" customHeight="1" x14ac:dyDescent="0.3">
      <c r="B4" s="2" t="s">
        <v>1</v>
      </c>
      <c r="C4" s="72">
        <v>46263</v>
      </c>
      <c r="D4" s="72"/>
      <c r="E4" s="71" t="s">
        <v>2</v>
      </c>
      <c r="F4" s="71"/>
      <c r="G4" s="71"/>
      <c r="H4" s="71"/>
      <c r="I4" s="71"/>
      <c r="J4" s="71"/>
      <c r="K4" s="71"/>
      <c r="L4" s="71"/>
    </row>
    <row r="6" spans="2:14" ht="15" customHeight="1" x14ac:dyDescent="0.3">
      <c r="B6" s="3" t="s">
        <v>3</v>
      </c>
    </row>
    <row r="7" spans="2:14" ht="15" customHeight="1" x14ac:dyDescent="0.3">
      <c r="B7" s="43" t="s">
        <v>61</v>
      </c>
      <c r="C7" s="43"/>
      <c r="D7" s="43"/>
      <c r="E7" s="43"/>
      <c r="F7" s="43"/>
      <c r="G7" s="43"/>
      <c r="H7" s="43"/>
      <c r="I7" s="43"/>
      <c r="J7" s="43"/>
      <c r="K7" s="43"/>
      <c r="L7" s="43"/>
    </row>
    <row r="8" spans="2:14" ht="15" customHeight="1" x14ac:dyDescent="0.3">
      <c r="B8" s="43" t="s">
        <v>119</v>
      </c>
      <c r="C8" s="43"/>
      <c r="D8" s="43"/>
      <c r="E8" s="43"/>
      <c r="F8" s="43"/>
      <c r="G8" s="43"/>
      <c r="H8" s="43"/>
      <c r="I8" s="43"/>
      <c r="J8" s="43"/>
      <c r="K8" s="43"/>
      <c r="L8" s="43"/>
    </row>
    <row r="9" spans="2:14" ht="15" customHeight="1" x14ac:dyDescent="0.3">
      <c r="B9" s="43" t="s">
        <v>62</v>
      </c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2:14" ht="15" customHeight="1" x14ac:dyDescent="0.3"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</row>
    <row r="12" spans="2:14" ht="42" customHeight="1" x14ac:dyDescent="0.3">
      <c r="B12" s="39" t="s">
        <v>4</v>
      </c>
      <c r="C12" s="39" t="s">
        <v>5</v>
      </c>
      <c r="D12" s="39" t="s">
        <v>6</v>
      </c>
      <c r="E12" s="39" t="s">
        <v>7</v>
      </c>
      <c r="F12" s="39" t="s">
        <v>8</v>
      </c>
      <c r="G12" s="39" t="s">
        <v>9</v>
      </c>
      <c r="H12" s="40" t="s">
        <v>10</v>
      </c>
      <c r="I12" s="40" t="s">
        <v>11</v>
      </c>
      <c r="J12" s="40" t="s">
        <v>12</v>
      </c>
      <c r="K12" s="40" t="s">
        <v>13</v>
      </c>
      <c r="L12" s="40" t="s">
        <v>14</v>
      </c>
      <c r="M12" s="41" t="s">
        <v>15</v>
      </c>
      <c r="N12" s="40" t="s">
        <v>63</v>
      </c>
    </row>
    <row r="13" spans="2:14" ht="31.9" customHeight="1" x14ac:dyDescent="0.3">
      <c r="B13" s="63" t="s">
        <v>16</v>
      </c>
      <c r="C13" s="63" t="s">
        <v>139</v>
      </c>
      <c r="D13" s="63"/>
      <c r="E13" s="64">
        <v>10</v>
      </c>
      <c r="F13" s="45"/>
      <c r="G13" s="46"/>
      <c r="H13" s="44"/>
      <c r="I13" s="44"/>
      <c r="J13" s="44"/>
      <c r="K13" s="44"/>
      <c r="L13" s="44"/>
      <c r="M13" s="53" t="str">
        <f t="shared" ref="M13:M51" si="0">IF(COUNTA(H13:L13)=0,"",ROUND((IFERROR(INDEX(Баллы_Все,MATCH(H13,Факты_Все,0)),0)*Вес_Качество+IFERROR(INDEX(Баллы_Все,MATCH(I13,Факты_Все,0)),0)*Вес_Дисциплина+IFERROR(INDEX(Баллы_Все,MATCH(J13,Факты_Все,0)),0)*Вес_Люди+IFERROR(INDEX(Баллы_Все,MATCH(K13,Факты_Все,0)),0)*Вес_Выработка+IFERROR(INDEX(Баллы_Все,MATCH(L13,Факты_Все,0)),0)*Вес_Чистота)/(IF(H13="",0,Вес_Качество)+IF(I13="",0,Вес_Дисциплина)+IF(J13="",0,Вес_Люди)+IF(K13="",0,Вес_Выработка)+IF(L13="",0,Вес_Чистота)),1))</f>
        <v/>
      </c>
      <c r="N13" s="45"/>
    </row>
    <row r="14" spans="2:14" ht="31.9" customHeight="1" x14ac:dyDescent="0.3">
      <c r="B14" s="63" t="s">
        <v>16</v>
      </c>
      <c r="C14" s="63" t="s">
        <v>140</v>
      </c>
      <c r="D14" s="63"/>
      <c r="E14" s="64">
        <v>6</v>
      </c>
      <c r="F14" s="45"/>
      <c r="G14" s="46"/>
      <c r="H14" s="44"/>
      <c r="I14" s="44"/>
      <c r="J14" s="44"/>
      <c r="K14" s="44"/>
      <c r="L14" s="44"/>
      <c r="M14" s="53" t="str">
        <f t="shared" si="0"/>
        <v/>
      </c>
      <c r="N14" s="45"/>
    </row>
    <row r="15" spans="2:14" ht="31.9" customHeight="1" x14ac:dyDescent="0.3">
      <c r="B15" s="63" t="s">
        <v>16</v>
      </c>
      <c r="C15" s="63" t="s">
        <v>141</v>
      </c>
      <c r="D15" s="63"/>
      <c r="E15" s="64">
        <v>3</v>
      </c>
      <c r="F15" s="45"/>
      <c r="G15" s="46"/>
      <c r="H15" s="44"/>
      <c r="I15" s="44"/>
      <c r="J15" s="44"/>
      <c r="K15" s="44"/>
      <c r="L15" s="44"/>
      <c r="M15" s="53" t="str">
        <f t="shared" si="0"/>
        <v/>
      </c>
      <c r="N15" s="45"/>
    </row>
    <row r="16" spans="2:14" ht="31.9" customHeight="1" x14ac:dyDescent="0.3">
      <c r="B16" s="63" t="s">
        <v>16</v>
      </c>
      <c r="C16" s="63" t="s">
        <v>142</v>
      </c>
      <c r="D16" s="63"/>
      <c r="E16" s="64">
        <v>10</v>
      </c>
      <c r="F16" s="45"/>
      <c r="G16" s="46"/>
      <c r="H16" s="44"/>
      <c r="I16" s="44"/>
      <c r="J16" s="44"/>
      <c r="K16" s="44"/>
      <c r="L16" s="44"/>
      <c r="M16" s="53" t="str">
        <f t="shared" si="0"/>
        <v/>
      </c>
      <c r="N16" s="45"/>
    </row>
    <row r="17" spans="2:14" ht="31.9" customHeight="1" x14ac:dyDescent="0.3">
      <c r="B17" s="63" t="s">
        <v>17</v>
      </c>
      <c r="C17" s="63"/>
      <c r="D17" s="63" t="s">
        <v>138</v>
      </c>
      <c r="E17" s="64">
        <v>12</v>
      </c>
      <c r="F17" s="45"/>
      <c r="G17" s="46"/>
      <c r="H17" s="44"/>
      <c r="I17" s="44"/>
      <c r="J17" s="44"/>
      <c r="K17" s="44"/>
      <c r="L17" s="44"/>
      <c r="M17" s="53" t="str">
        <f t="shared" si="0"/>
        <v/>
      </c>
      <c r="N17" s="45"/>
    </row>
    <row r="18" spans="2:14" ht="31.9" customHeight="1" x14ac:dyDescent="0.3">
      <c r="B18" s="63" t="s">
        <v>17</v>
      </c>
      <c r="C18" s="63"/>
      <c r="D18" s="65" t="s">
        <v>143</v>
      </c>
      <c r="E18" s="64">
        <v>6</v>
      </c>
      <c r="F18" s="45"/>
      <c r="G18" s="46"/>
      <c r="H18" s="44"/>
      <c r="I18" s="44"/>
      <c r="J18" s="44"/>
      <c r="K18" s="44"/>
      <c r="L18" s="44"/>
      <c r="M18" s="53" t="str">
        <f t="shared" si="0"/>
        <v/>
      </c>
      <c r="N18" s="45"/>
    </row>
    <row r="19" spans="2:14" ht="31.9" customHeight="1" x14ac:dyDescent="0.3">
      <c r="B19" s="63" t="s">
        <v>18</v>
      </c>
      <c r="C19" s="63"/>
      <c r="D19" s="63" t="s">
        <v>144</v>
      </c>
      <c r="E19" s="64">
        <v>8</v>
      </c>
      <c r="F19" s="45"/>
      <c r="G19" s="46"/>
      <c r="H19" s="44"/>
      <c r="I19" s="44"/>
      <c r="J19" s="44"/>
      <c r="K19" s="44"/>
      <c r="L19" s="44"/>
      <c r="M19" s="53" t="str">
        <f t="shared" si="0"/>
        <v/>
      </c>
      <c r="N19" s="45"/>
    </row>
    <row r="20" spans="2:14" ht="31.9" customHeight="1" x14ac:dyDescent="0.3">
      <c r="B20" s="63" t="s">
        <v>17</v>
      </c>
      <c r="C20" s="63"/>
      <c r="D20" s="63" t="s">
        <v>145</v>
      </c>
      <c r="E20" s="64">
        <v>7</v>
      </c>
      <c r="F20" s="45"/>
      <c r="G20" s="46"/>
      <c r="H20" s="44"/>
      <c r="I20" s="44"/>
      <c r="J20" s="44"/>
      <c r="K20" s="44"/>
      <c r="L20" s="44"/>
      <c r="M20" s="53" t="str">
        <f t="shared" si="0"/>
        <v/>
      </c>
      <c r="N20" s="45"/>
    </row>
    <row r="21" spans="2:14" ht="31.9" customHeight="1" x14ac:dyDescent="0.3">
      <c r="B21" s="63" t="s">
        <v>19</v>
      </c>
      <c r="C21" s="63"/>
      <c r="D21" s="63" t="s">
        <v>147</v>
      </c>
      <c r="E21" s="64">
        <v>5</v>
      </c>
      <c r="F21" s="45"/>
      <c r="G21" s="46"/>
      <c r="H21" s="44"/>
      <c r="I21" s="44"/>
      <c r="J21" s="44"/>
      <c r="K21" s="44"/>
      <c r="L21" s="44"/>
      <c r="M21" s="53" t="str">
        <f t="shared" si="0"/>
        <v/>
      </c>
      <c r="N21" s="45"/>
    </row>
    <row r="22" spans="2:14" ht="31.9" customHeight="1" x14ac:dyDescent="0.3">
      <c r="B22" s="63" t="s">
        <v>19</v>
      </c>
      <c r="C22" s="63"/>
      <c r="D22" s="63" t="s">
        <v>148</v>
      </c>
      <c r="E22" s="64">
        <v>5</v>
      </c>
      <c r="F22" s="45"/>
      <c r="G22" s="46"/>
      <c r="H22" s="44"/>
      <c r="I22" s="44"/>
      <c r="J22" s="44"/>
      <c r="K22" s="44"/>
      <c r="L22" s="44"/>
      <c r="M22" s="53" t="str">
        <f t="shared" si="0"/>
        <v/>
      </c>
      <c r="N22" s="45"/>
    </row>
    <row r="23" spans="2:14" ht="31.9" customHeight="1" x14ac:dyDescent="0.3">
      <c r="B23" s="62" t="s">
        <v>51</v>
      </c>
      <c r="C23" s="62"/>
      <c r="D23" s="62" t="s">
        <v>150</v>
      </c>
      <c r="E23" s="50">
        <v>5</v>
      </c>
      <c r="F23" s="45"/>
      <c r="G23" s="46"/>
      <c r="H23" s="44"/>
      <c r="I23" s="44"/>
      <c r="J23" s="44"/>
      <c r="K23" s="44"/>
      <c r="L23" s="44"/>
      <c r="M23" s="53" t="str">
        <f t="shared" si="0"/>
        <v/>
      </c>
      <c r="N23" s="45"/>
    </row>
    <row r="24" spans="2:14" ht="31.9" customHeight="1" x14ac:dyDescent="0.3">
      <c r="B24" s="62" t="s">
        <v>21</v>
      </c>
      <c r="C24" s="62"/>
      <c r="D24" s="62" t="s">
        <v>151</v>
      </c>
      <c r="E24" s="50">
        <v>4</v>
      </c>
      <c r="F24" s="45"/>
      <c r="G24" s="46"/>
      <c r="H24" s="44"/>
      <c r="I24" s="44"/>
      <c r="J24" s="44"/>
      <c r="K24" s="44"/>
      <c r="L24" s="44"/>
      <c r="M24" s="53" t="str">
        <f t="shared" si="0"/>
        <v/>
      </c>
      <c r="N24" s="45"/>
    </row>
    <row r="25" spans="2:14" ht="31.9" customHeight="1" x14ac:dyDescent="0.3">
      <c r="B25" s="62" t="s">
        <v>21</v>
      </c>
      <c r="C25" s="62"/>
      <c r="D25" s="62" t="s">
        <v>152</v>
      </c>
      <c r="E25" s="50">
        <v>5</v>
      </c>
      <c r="F25" s="45"/>
      <c r="G25" s="46"/>
      <c r="H25" s="44"/>
      <c r="I25" s="44"/>
      <c r="J25" s="44"/>
      <c r="K25" s="44"/>
      <c r="L25" s="44"/>
      <c r="M25" s="53" t="str">
        <f t="shared" si="0"/>
        <v/>
      </c>
      <c r="N25" s="45"/>
    </row>
    <row r="26" spans="2:14" ht="31.9" customHeight="1" x14ac:dyDescent="0.3">
      <c r="B26" s="62" t="s">
        <v>21</v>
      </c>
      <c r="C26" s="62"/>
      <c r="D26" s="62" t="s">
        <v>154</v>
      </c>
      <c r="E26" s="50">
        <v>30</v>
      </c>
      <c r="F26" s="45"/>
      <c r="G26" s="46"/>
      <c r="H26" s="44"/>
      <c r="I26" s="44"/>
      <c r="J26" s="44"/>
      <c r="K26" s="44"/>
      <c r="L26" s="44"/>
      <c r="M26" s="53" t="str">
        <f t="shared" si="0"/>
        <v/>
      </c>
      <c r="N26" s="45"/>
    </row>
    <row r="27" spans="2:14" ht="31.9" customHeight="1" x14ac:dyDescent="0.3">
      <c r="B27" s="62" t="s">
        <v>21</v>
      </c>
      <c r="C27" s="62"/>
      <c r="D27" s="62" t="s">
        <v>155</v>
      </c>
      <c r="E27" s="50">
        <v>15</v>
      </c>
      <c r="F27" s="45"/>
      <c r="G27" s="46"/>
      <c r="H27" s="44"/>
      <c r="I27" s="44"/>
      <c r="J27" s="44"/>
      <c r="K27" s="44"/>
      <c r="L27" s="44"/>
      <c r="M27" s="53" t="str">
        <f t="shared" si="0"/>
        <v/>
      </c>
      <c r="N27" s="45"/>
    </row>
    <row r="28" spans="2:14" ht="31.9" customHeight="1" x14ac:dyDescent="0.3">
      <c r="B28" s="62" t="s">
        <v>21</v>
      </c>
      <c r="C28" s="62"/>
      <c r="D28" s="62" t="s">
        <v>156</v>
      </c>
      <c r="E28" s="50">
        <v>6</v>
      </c>
      <c r="F28" s="45"/>
      <c r="G28" s="46"/>
      <c r="H28" s="44"/>
      <c r="I28" s="44"/>
      <c r="J28" s="44"/>
      <c r="K28" s="44"/>
      <c r="L28" s="44"/>
      <c r="M28" s="53" t="str">
        <f t="shared" si="0"/>
        <v/>
      </c>
      <c r="N28" s="45"/>
    </row>
    <row r="29" spans="2:14" ht="31.9" customHeight="1" x14ac:dyDescent="0.3">
      <c r="B29" s="62" t="s">
        <v>21</v>
      </c>
      <c r="C29" s="62"/>
      <c r="D29" s="62" t="s">
        <v>158</v>
      </c>
      <c r="E29" s="50">
        <v>22</v>
      </c>
      <c r="F29" s="45"/>
      <c r="G29" s="46"/>
      <c r="H29" s="44"/>
      <c r="I29" s="44"/>
      <c r="J29" s="44"/>
      <c r="K29" s="44"/>
      <c r="L29" s="44"/>
      <c r="M29" s="53" t="str">
        <f t="shared" si="0"/>
        <v/>
      </c>
      <c r="N29" s="45"/>
    </row>
    <row r="30" spans="2:14" ht="31.9" customHeight="1" x14ac:dyDescent="0.3">
      <c r="B30" s="62" t="s">
        <v>22</v>
      </c>
      <c r="C30" s="62"/>
      <c r="D30" s="62" t="s">
        <v>159</v>
      </c>
      <c r="E30" s="50">
        <v>10</v>
      </c>
      <c r="F30" s="45"/>
      <c r="G30" s="46"/>
      <c r="H30" s="44"/>
      <c r="I30" s="44"/>
      <c r="J30" s="44"/>
      <c r="K30" s="44"/>
      <c r="L30" s="44"/>
      <c r="M30" s="53" t="str">
        <f t="shared" si="0"/>
        <v/>
      </c>
      <c r="N30" s="45"/>
    </row>
    <row r="31" spans="2:14" ht="31.9" customHeight="1" x14ac:dyDescent="0.3">
      <c r="B31" s="62" t="s">
        <v>22</v>
      </c>
      <c r="C31" s="62"/>
      <c r="D31" s="62" t="s">
        <v>160</v>
      </c>
      <c r="E31" s="50">
        <v>10</v>
      </c>
      <c r="F31" s="45"/>
      <c r="G31" s="46"/>
      <c r="H31" s="44"/>
      <c r="I31" s="44"/>
      <c r="J31" s="44"/>
      <c r="K31" s="44"/>
      <c r="L31" s="44"/>
      <c r="M31" s="53" t="str">
        <f t="shared" si="0"/>
        <v/>
      </c>
      <c r="N31" s="45"/>
    </row>
    <row r="32" spans="2:14" ht="31.9" customHeight="1" x14ac:dyDescent="0.3">
      <c r="B32" s="62" t="s">
        <v>23</v>
      </c>
      <c r="C32" s="62"/>
      <c r="D32" s="62" t="s">
        <v>161</v>
      </c>
      <c r="E32" s="50">
        <v>6</v>
      </c>
      <c r="F32" s="45"/>
      <c r="G32" s="46"/>
      <c r="H32" s="44"/>
      <c r="I32" s="44"/>
      <c r="J32" s="44"/>
      <c r="K32" s="44"/>
      <c r="L32" s="44"/>
      <c r="M32" s="53" t="str">
        <f t="shared" si="0"/>
        <v/>
      </c>
      <c r="N32" s="45"/>
    </row>
    <row r="33" spans="2:14" ht="31.9" customHeight="1" x14ac:dyDescent="0.3">
      <c r="B33" s="62" t="s">
        <v>172</v>
      </c>
      <c r="C33" s="62"/>
      <c r="D33" s="62" t="s">
        <v>173</v>
      </c>
      <c r="E33" s="50">
        <v>1</v>
      </c>
      <c r="F33" s="45"/>
      <c r="G33" s="46"/>
      <c r="H33" s="44"/>
      <c r="I33" s="44"/>
      <c r="J33" s="44"/>
      <c r="K33" s="44"/>
      <c r="L33" s="44"/>
      <c r="M33" s="53" t="str">
        <f t="shared" si="0"/>
        <v/>
      </c>
      <c r="N33" s="45"/>
    </row>
    <row r="34" spans="2:14" ht="31.9" customHeight="1" x14ac:dyDescent="0.3">
      <c r="B34" s="62" t="s">
        <v>172</v>
      </c>
      <c r="C34" s="62"/>
      <c r="D34" s="62" t="s">
        <v>174</v>
      </c>
      <c r="E34" s="50">
        <v>2</v>
      </c>
      <c r="F34" s="45"/>
      <c r="G34" s="46"/>
      <c r="H34" s="44"/>
      <c r="I34" s="44"/>
      <c r="J34" s="44"/>
      <c r="K34" s="44"/>
      <c r="L34" s="44"/>
      <c r="M34" s="53" t="str">
        <f t="shared" si="0"/>
        <v/>
      </c>
      <c r="N34" s="45"/>
    </row>
    <row r="35" spans="2:14" ht="31.9" customHeight="1" x14ac:dyDescent="0.3">
      <c r="B35" s="62" t="s">
        <v>49</v>
      </c>
      <c r="C35" s="62"/>
      <c r="D35" s="62" t="s">
        <v>162</v>
      </c>
      <c r="E35" s="50">
        <v>6</v>
      </c>
      <c r="F35" s="45"/>
      <c r="G35" s="46"/>
      <c r="H35" s="44"/>
      <c r="I35" s="44"/>
      <c r="J35" s="44"/>
      <c r="K35" s="44"/>
      <c r="L35" s="44"/>
      <c r="M35" s="53" t="str">
        <f t="shared" si="0"/>
        <v/>
      </c>
      <c r="N35" s="45"/>
    </row>
    <row r="36" spans="2:14" ht="31.9" customHeight="1" x14ac:dyDescent="0.3">
      <c r="B36" s="62" t="s">
        <v>24</v>
      </c>
      <c r="C36" s="62"/>
      <c r="D36" s="62" t="s">
        <v>175</v>
      </c>
      <c r="E36" s="50">
        <v>2</v>
      </c>
      <c r="F36" s="45"/>
      <c r="G36" s="46"/>
      <c r="H36" s="44"/>
      <c r="I36" s="44"/>
      <c r="J36" s="44"/>
      <c r="K36" s="44"/>
      <c r="L36" s="44"/>
      <c r="M36" s="53" t="str">
        <f t="shared" si="0"/>
        <v/>
      </c>
      <c r="N36" s="45"/>
    </row>
    <row r="37" spans="2:14" ht="31.9" customHeight="1" x14ac:dyDescent="0.3">
      <c r="B37" s="62" t="s">
        <v>25</v>
      </c>
      <c r="C37" s="62"/>
      <c r="D37" s="62" t="s">
        <v>176</v>
      </c>
      <c r="E37" s="50">
        <v>0</v>
      </c>
      <c r="F37" s="45"/>
      <c r="G37" s="46"/>
      <c r="H37" s="44"/>
      <c r="I37" s="44"/>
      <c r="J37" s="44"/>
      <c r="K37" s="44"/>
      <c r="L37" s="44"/>
      <c r="M37" s="53" t="str">
        <f t="shared" si="0"/>
        <v/>
      </c>
      <c r="N37" s="45"/>
    </row>
    <row r="38" spans="2:14" ht="31.9" customHeight="1" x14ac:dyDescent="0.3">
      <c r="B38" s="62" t="s">
        <v>177</v>
      </c>
      <c r="C38" s="62"/>
      <c r="D38" s="62" t="s">
        <v>178</v>
      </c>
      <c r="E38" s="50">
        <v>0</v>
      </c>
      <c r="F38" s="45"/>
      <c r="G38" s="46"/>
      <c r="H38" s="44"/>
      <c r="I38" s="44"/>
      <c r="J38" s="44"/>
      <c r="K38" s="44"/>
      <c r="L38" s="44"/>
      <c r="M38" s="53" t="str">
        <f t="shared" si="0"/>
        <v/>
      </c>
      <c r="N38" s="45"/>
    </row>
    <row r="39" spans="2:14" ht="31.9" customHeight="1" x14ac:dyDescent="0.3">
      <c r="B39" s="62" t="s">
        <v>25</v>
      </c>
      <c r="C39" s="62"/>
      <c r="D39" s="62" t="s">
        <v>164</v>
      </c>
      <c r="E39" s="50">
        <v>1</v>
      </c>
      <c r="F39" s="45"/>
      <c r="G39" s="46"/>
      <c r="H39" s="44"/>
      <c r="I39" s="44"/>
      <c r="J39" s="44"/>
      <c r="K39" s="44"/>
      <c r="L39" s="44"/>
      <c r="M39" s="53" t="str">
        <f t="shared" si="0"/>
        <v/>
      </c>
      <c r="N39" s="45"/>
    </row>
    <row r="40" spans="2:14" ht="31.9" customHeight="1" x14ac:dyDescent="0.3">
      <c r="B40" s="62" t="s">
        <v>25</v>
      </c>
      <c r="C40" s="62"/>
      <c r="D40" s="62" t="s">
        <v>163</v>
      </c>
      <c r="E40" s="50">
        <v>6</v>
      </c>
      <c r="F40" s="45"/>
      <c r="G40" s="46"/>
      <c r="H40" s="44"/>
      <c r="I40" s="44"/>
      <c r="J40" s="44"/>
      <c r="K40" s="44"/>
      <c r="L40" s="44"/>
      <c r="M40" s="53" t="str">
        <f t="shared" si="0"/>
        <v/>
      </c>
      <c r="N40" s="45"/>
    </row>
    <row r="41" spans="2:14" ht="31.9" customHeight="1" x14ac:dyDescent="0.3">
      <c r="B41" s="62" t="s">
        <v>26</v>
      </c>
      <c r="C41" s="62"/>
      <c r="D41" s="62" t="s">
        <v>164</v>
      </c>
      <c r="E41" s="50">
        <v>10</v>
      </c>
      <c r="F41" s="45"/>
      <c r="G41" s="46"/>
      <c r="H41" s="44"/>
      <c r="I41" s="44"/>
      <c r="J41" s="44"/>
      <c r="K41" s="44"/>
      <c r="L41" s="44"/>
      <c r="M41" s="53" t="str">
        <f t="shared" si="0"/>
        <v/>
      </c>
      <c r="N41" s="45"/>
    </row>
    <row r="42" spans="2:14" ht="31.9" customHeight="1" x14ac:dyDescent="0.3">
      <c r="B42" s="62" t="s">
        <v>165</v>
      </c>
      <c r="C42" s="62"/>
      <c r="D42" s="62" t="s">
        <v>166</v>
      </c>
      <c r="E42" s="50">
        <v>5</v>
      </c>
      <c r="F42" s="45"/>
      <c r="G42" s="46"/>
      <c r="H42" s="44"/>
      <c r="I42" s="44"/>
      <c r="J42" s="44"/>
      <c r="K42" s="44"/>
      <c r="L42" s="44"/>
      <c r="M42" s="53" t="str">
        <f t="shared" si="0"/>
        <v/>
      </c>
      <c r="N42" s="45"/>
    </row>
    <row r="43" spans="2:14" ht="31.9" customHeight="1" x14ac:dyDescent="0.3">
      <c r="B43" s="62" t="s">
        <v>26</v>
      </c>
      <c r="C43" s="62"/>
      <c r="D43" s="62" t="s">
        <v>167</v>
      </c>
      <c r="E43" s="50">
        <v>3</v>
      </c>
      <c r="F43" s="45"/>
      <c r="G43" s="46"/>
      <c r="H43" s="44"/>
      <c r="I43" s="44"/>
      <c r="J43" s="44"/>
      <c r="K43" s="44"/>
      <c r="L43" s="44"/>
      <c r="M43" s="53" t="str">
        <f t="shared" si="0"/>
        <v/>
      </c>
      <c r="N43" s="45"/>
    </row>
    <row r="44" spans="2:14" ht="31.9" customHeight="1" x14ac:dyDescent="0.3">
      <c r="B44" s="62" t="s">
        <v>26</v>
      </c>
      <c r="C44" s="62"/>
      <c r="D44" s="62" t="s">
        <v>168</v>
      </c>
      <c r="E44" s="50">
        <v>5</v>
      </c>
      <c r="F44" s="45"/>
      <c r="G44" s="46"/>
      <c r="H44" s="44"/>
      <c r="I44" s="44"/>
      <c r="J44" s="44"/>
      <c r="K44" s="44"/>
      <c r="L44" s="44"/>
      <c r="M44" s="53" t="str">
        <f t="shared" si="0"/>
        <v/>
      </c>
      <c r="N44" s="45"/>
    </row>
    <row r="45" spans="2:14" ht="31.9" customHeight="1" x14ac:dyDescent="0.3">
      <c r="B45" s="62" t="s">
        <v>26</v>
      </c>
      <c r="C45" s="62"/>
      <c r="D45" s="62" t="s">
        <v>170</v>
      </c>
      <c r="E45" s="50">
        <v>4</v>
      </c>
      <c r="F45" s="45"/>
      <c r="G45" s="46"/>
      <c r="H45" s="44"/>
      <c r="I45" s="44"/>
      <c r="J45" s="44"/>
      <c r="K45" s="44"/>
      <c r="L45" s="44"/>
      <c r="M45" s="53" t="str">
        <f t="shared" si="0"/>
        <v/>
      </c>
      <c r="N45" s="45"/>
    </row>
    <row r="46" spans="2:14" ht="31.9" customHeight="1" x14ac:dyDescent="0.3">
      <c r="B46" s="62"/>
      <c r="C46" s="62"/>
      <c r="D46" s="62"/>
      <c r="E46" s="50"/>
      <c r="F46" s="45"/>
      <c r="G46" s="46"/>
      <c r="H46" s="44"/>
      <c r="I46" s="44"/>
      <c r="J46" s="44"/>
      <c r="K46" s="44"/>
      <c r="L46" s="44"/>
      <c r="M46" s="53" t="str">
        <f t="shared" si="0"/>
        <v/>
      </c>
      <c r="N46" s="45"/>
    </row>
    <row r="47" spans="2:14" ht="31.9" customHeight="1" x14ac:dyDescent="0.3">
      <c r="B47" s="62"/>
      <c r="C47" s="62"/>
      <c r="D47" s="62"/>
      <c r="E47" s="50"/>
      <c r="F47" s="45"/>
      <c r="G47" s="46"/>
      <c r="H47" s="44"/>
      <c r="I47" s="44"/>
      <c r="J47" s="44"/>
      <c r="K47" s="44"/>
      <c r="L47" s="44"/>
      <c r="M47" s="53" t="str">
        <f t="shared" si="0"/>
        <v/>
      </c>
      <c r="N47" s="45"/>
    </row>
    <row r="48" spans="2:14" ht="31.9" customHeight="1" x14ac:dyDescent="0.3">
      <c r="B48" s="62"/>
      <c r="C48" s="62"/>
      <c r="D48" s="62"/>
      <c r="E48" s="50"/>
      <c r="F48" s="45"/>
      <c r="G48" s="46"/>
      <c r="H48" s="44"/>
      <c r="I48" s="44"/>
      <c r="J48" s="44"/>
      <c r="K48" s="44"/>
      <c r="L48" s="44"/>
      <c r="M48" s="53" t="str">
        <f t="shared" si="0"/>
        <v/>
      </c>
      <c r="N48" s="45"/>
    </row>
    <row r="49" spans="2:14" ht="31.9" customHeight="1" x14ac:dyDescent="0.3">
      <c r="B49" s="62"/>
      <c r="C49" s="62"/>
      <c r="D49" s="62"/>
      <c r="E49" s="50"/>
      <c r="F49" s="45"/>
      <c r="G49" s="46"/>
      <c r="H49" s="44"/>
      <c r="I49" s="44"/>
      <c r="J49" s="44"/>
      <c r="K49" s="44"/>
      <c r="L49" s="44"/>
      <c r="M49" s="53" t="str">
        <f t="shared" si="0"/>
        <v/>
      </c>
      <c r="N49" s="45"/>
    </row>
    <row r="50" spans="2:14" ht="31.9" customHeight="1" x14ac:dyDescent="0.3">
      <c r="B50" s="62"/>
      <c r="C50" s="62"/>
      <c r="D50" s="62"/>
      <c r="E50" s="50"/>
      <c r="F50" s="45"/>
      <c r="G50" s="46"/>
      <c r="H50" s="44"/>
      <c r="I50" s="44"/>
      <c r="J50" s="44"/>
      <c r="K50" s="44"/>
      <c r="L50" s="44"/>
      <c r="M50" s="53" t="str">
        <f t="shared" si="0"/>
        <v/>
      </c>
      <c r="N50" s="45"/>
    </row>
    <row r="51" spans="2:14" ht="31.9" customHeight="1" x14ac:dyDescent="0.3">
      <c r="B51" s="62"/>
      <c r="C51" s="62"/>
      <c r="D51" s="62"/>
      <c r="E51" s="50"/>
      <c r="F51" s="45"/>
      <c r="G51" s="46"/>
      <c r="H51" s="44"/>
      <c r="I51" s="44"/>
      <c r="J51" s="44"/>
      <c r="K51" s="44"/>
      <c r="L51" s="44"/>
      <c r="M51" s="53" t="str">
        <f t="shared" si="0"/>
        <v/>
      </c>
      <c r="N51" s="45"/>
    </row>
  </sheetData>
  <mergeCells count="4">
    <mergeCell ref="B10:L10"/>
    <mergeCell ref="C4:D4"/>
    <mergeCell ref="E4:L4"/>
    <mergeCell ref="B2:N2"/>
  </mergeCells>
  <conditionalFormatting sqref="M13:M51">
    <cfRule type="cellIs" dxfId="24" priority="10" operator="lessThan">
      <formula>2.5</formula>
    </cfRule>
    <cfRule type="cellIs" dxfId="23" priority="11" operator="lessThan">
      <formula>3.5</formula>
    </cfRule>
    <cfRule type="cellIs" dxfId="22" priority="12" operator="greaterThanOrEqual">
      <formula>4.5</formula>
    </cfRule>
  </conditionalFormatting>
  <conditionalFormatting sqref="N13:N51">
    <cfRule type="containsText" dxfId="21" priority="13" operator="containsText" text="Заменить">
      <formula>NOT(ISERROR(SEARCH("Заменить",N13)))</formula>
    </cfRule>
    <cfRule type="containsText" dxfId="20" priority="14" operator="containsText" text="претензию">
      <formula>NOT(ISERROR(SEARCH("претензию",N13)))</formula>
    </cfRule>
  </conditionalFormatting>
  <dataValidations count="11">
    <dataValidation type="list" allowBlank="1" showInputMessage="1" showErrorMessage="1" errorTitle="Выберите факт" error="Значение нужно выбрать из выпадающего списка." sqref="H13:H101">
      <formula1>Факты_Качество</formula1>
    </dataValidation>
    <dataValidation type="list" allowBlank="1" showInputMessage="1" showErrorMessage="1" errorTitle="Выберите факт" error="Значение нужно выбрать из выпадающего списка." sqref="I13:I101">
      <formula1>Факты_Дисциплина</formula1>
    </dataValidation>
    <dataValidation type="list" allowBlank="1" showInputMessage="1" showErrorMessage="1" errorTitle="Выберите факт" error="Значение нужно выбрать из выпадающего списка." sqref="J13:J101">
      <formula1>Факты_Люди</formula1>
    </dataValidation>
    <dataValidation type="list" allowBlank="1" showInputMessage="1" showErrorMessage="1" errorTitle="Выберите факт" error="Значение нужно выбрать из выпадающего списка." sqref="K13:K101">
      <formula1>Факты_Выработка</formula1>
    </dataValidation>
    <dataValidation type="list" allowBlank="1" showInputMessage="1" showErrorMessage="1" errorTitle="Выберите факт" error="Значение нужно выбрать из выпадающего списка." sqref="L13:L101">
      <formula1>Факты_Чистота</formula1>
    </dataValidation>
    <dataValidation type="list" allowBlank="1" showInputMessage="1" showErrorMessage="1" errorTitle="Выберите решение" error="Выберите решение из списка или оставьте ячейку пустой." sqref="N52:N101">
      <formula1>Список_Решений</formula1>
    </dataValidation>
    <dataValidation type="list" allowBlank="1" sqref="G13:G101">
      <formula1>INDIRECT("Справочник_причин[Причина]")</formula1>
    </dataValidation>
    <dataValidation type="list" allowBlank="1" sqref="B52:B101">
      <formula1>INDIRECT("Справочник_категорий[Категория]")</formula1>
    </dataValidation>
    <dataValidation type="list" allowBlank="1" showInputMessage="1" showErrorMessage="1" errorTitle="Выберите решение" error="Выберите решение из списка или оставьте ячейку пустой." sqref="N13:N51">
      <formula1>INDIRECT("Решения[Решение РП]")</formula1>
    </dataValidation>
    <dataValidation type="list" allowBlank="1" sqref="B23:B51">
      <formula1>INDIRECT("Справочник_категорий[Категория]")</formula1>
    </dataValidation>
    <dataValidation type="list" allowBlank="1" sqref="B13:B22">
      <formula1>INDIRECT("Справочник_категорий[Категория]")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ZapisatOtchet">
                <anchor>
                  <from>
                    <xdr:col>8</xdr:col>
                    <xdr:colOff>228600</xdr:colOff>
                    <xdr:row>3</xdr:row>
                    <xdr:rowOff>28575</xdr:rowOff>
                  </from>
                  <to>
                    <xdr:col>9</xdr:col>
                    <xdr:colOff>457200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E1:S722"/>
  <sheetViews>
    <sheetView showGridLines="0" zoomScale="90" zoomScaleNormal="90" workbookViewId="0">
      <pane ySplit="3" topLeftCell="A672" activePane="bottomLeft" state="frozen"/>
      <selection activeCell="C18" sqref="C18"/>
      <selection pane="bottomLeft" activeCell="D751" sqref="D751"/>
    </sheetView>
  </sheetViews>
  <sheetFormatPr defaultColWidth="8.75" defaultRowHeight="14.25" x14ac:dyDescent="0.25"/>
  <cols>
    <col min="1" max="4" width="8.75" style="4"/>
    <col min="5" max="5" width="15.75" style="5" customWidth="1"/>
    <col min="6" max="6" width="26.625" style="5" customWidth="1"/>
    <col min="7" max="7" width="30.125" style="5" customWidth="1"/>
    <col min="8" max="8" width="20.875" style="5" customWidth="1"/>
    <col min="9" max="9" width="15" style="6" customWidth="1"/>
    <col min="10" max="10" width="15.5" style="7" customWidth="1"/>
    <col min="11" max="11" width="13.375" style="7" customWidth="1"/>
    <col min="12" max="12" width="13.875" style="7" customWidth="1"/>
    <col min="13" max="13" width="23.125" style="8" customWidth="1"/>
    <col min="14" max="14" width="22.5" style="8" customWidth="1"/>
    <col min="15" max="19" width="30" style="8" customWidth="1"/>
    <col min="20" max="16384" width="8.75" style="4"/>
  </cols>
  <sheetData>
    <row r="1" spans="5:19" ht="18" customHeight="1" x14ac:dyDescent="0.25">
      <c r="E1" s="9" t="s">
        <v>28</v>
      </c>
      <c r="F1" s="9" t="s">
        <v>137</v>
      </c>
    </row>
    <row r="3" spans="5:19" s="10" customFormat="1" ht="30.75" customHeight="1" x14ac:dyDescent="0.25">
      <c r="E3" s="35" t="s">
        <v>29</v>
      </c>
      <c r="F3" s="9" t="s">
        <v>30</v>
      </c>
      <c r="G3" s="9" t="s">
        <v>31</v>
      </c>
      <c r="H3" s="9" t="s">
        <v>32</v>
      </c>
      <c r="I3" s="11" t="s">
        <v>33</v>
      </c>
      <c r="J3" s="12" t="s">
        <v>34</v>
      </c>
      <c r="K3" s="12" t="s">
        <v>35</v>
      </c>
      <c r="L3" s="12" t="s">
        <v>36</v>
      </c>
      <c r="M3" s="12" t="s">
        <v>37</v>
      </c>
      <c r="N3" s="12" t="s">
        <v>64</v>
      </c>
      <c r="O3" s="12" t="s">
        <v>65</v>
      </c>
      <c r="P3" s="12" t="s">
        <v>66</v>
      </c>
      <c r="Q3" s="12" t="s">
        <v>67</v>
      </c>
      <c r="R3" s="12" t="s">
        <v>68</v>
      </c>
      <c r="S3" s="12" t="s">
        <v>69</v>
      </c>
    </row>
    <row r="4" spans="5:19" ht="18" hidden="1" customHeight="1" x14ac:dyDescent="0.25">
      <c r="E4" s="36"/>
      <c r="F4" s="13"/>
      <c r="G4" s="14"/>
      <c r="H4" s="15"/>
      <c r="I4" s="16"/>
      <c r="J4" s="17"/>
      <c r="K4" s="17"/>
      <c r="L4" s="17"/>
      <c r="M4" s="18"/>
      <c r="N4" s="18"/>
      <c r="O4" s="18"/>
      <c r="P4" s="18"/>
      <c r="Q4" s="18"/>
      <c r="R4" s="18"/>
      <c r="S4" s="18"/>
    </row>
    <row r="5" spans="5:19" ht="18" hidden="1" customHeight="1" x14ac:dyDescent="0.25">
      <c r="E5" s="36"/>
      <c r="F5" s="13"/>
      <c r="G5" s="13"/>
      <c r="H5" s="15"/>
      <c r="I5" s="16"/>
      <c r="J5" s="17"/>
      <c r="K5" s="17"/>
      <c r="L5" s="17"/>
      <c r="M5" s="18"/>
    </row>
    <row r="6" spans="5:19" ht="18" hidden="1" customHeight="1" x14ac:dyDescent="0.25">
      <c r="E6" s="36"/>
      <c r="F6" s="13"/>
      <c r="G6" s="13"/>
      <c r="H6" s="15"/>
      <c r="I6" s="16"/>
      <c r="J6" s="17"/>
      <c r="K6" s="17"/>
      <c r="L6" s="17"/>
      <c r="M6" s="18"/>
    </row>
    <row r="7" spans="5:19" ht="18" hidden="1" customHeight="1" x14ac:dyDescent="0.25">
      <c r="E7" s="36"/>
      <c r="F7" s="13"/>
      <c r="G7" s="13"/>
      <c r="H7" s="15"/>
      <c r="I7" s="16"/>
      <c r="J7" s="17"/>
      <c r="K7" s="17"/>
      <c r="L7" s="17"/>
      <c r="M7" s="18"/>
    </row>
    <row r="8" spans="5:19" ht="18" hidden="1" customHeight="1" x14ac:dyDescent="0.25">
      <c r="E8" s="36"/>
      <c r="F8" s="13"/>
      <c r="G8" s="13"/>
      <c r="H8" s="13"/>
      <c r="I8" s="16"/>
      <c r="J8" s="17"/>
      <c r="K8" s="17"/>
      <c r="L8" s="17"/>
      <c r="M8" s="18"/>
    </row>
    <row r="9" spans="5:19" ht="18" hidden="1" customHeight="1" x14ac:dyDescent="0.25">
      <c r="E9" s="36"/>
      <c r="F9" s="13"/>
      <c r="G9" s="13"/>
      <c r="H9" s="13"/>
      <c r="I9" s="16"/>
      <c r="J9" s="17"/>
      <c r="K9" s="17"/>
      <c r="L9" s="17"/>
      <c r="M9" s="18"/>
    </row>
    <row r="10" spans="5:19" ht="18" hidden="1" customHeight="1" x14ac:dyDescent="0.25">
      <c r="E10" s="36"/>
      <c r="F10" s="13"/>
      <c r="G10" s="13"/>
      <c r="H10" s="13"/>
      <c r="I10" s="16"/>
      <c r="J10" s="17"/>
      <c r="K10" s="17"/>
      <c r="L10" s="17"/>
      <c r="M10" s="18"/>
    </row>
    <row r="11" spans="5:19" ht="18" hidden="1" customHeight="1" x14ac:dyDescent="0.25">
      <c r="E11" s="36"/>
      <c r="F11" s="13"/>
      <c r="G11" s="13"/>
      <c r="H11" s="13"/>
      <c r="I11" s="16"/>
      <c r="J11" s="17"/>
      <c r="K11" s="17"/>
      <c r="L11" s="17"/>
      <c r="M11" s="18"/>
    </row>
    <row r="12" spans="5:19" ht="18" hidden="1" customHeight="1" x14ac:dyDescent="0.25">
      <c r="E12" s="36"/>
      <c r="F12" s="13"/>
      <c r="G12" s="13"/>
      <c r="H12" s="13"/>
      <c r="I12" s="16"/>
      <c r="J12" s="17"/>
      <c r="K12" s="17"/>
      <c r="L12" s="17"/>
      <c r="M12" s="18"/>
    </row>
    <row r="13" spans="5:19" ht="18" hidden="1" customHeight="1" x14ac:dyDescent="0.25">
      <c r="E13" s="36"/>
      <c r="F13" s="13"/>
      <c r="G13" s="13"/>
      <c r="H13" s="13"/>
      <c r="I13" s="16"/>
      <c r="J13" s="17"/>
      <c r="K13" s="17"/>
      <c r="L13" s="17"/>
      <c r="M13" s="18"/>
    </row>
    <row r="14" spans="5:19" ht="18" hidden="1" customHeight="1" x14ac:dyDescent="0.25">
      <c r="E14" s="36"/>
      <c r="F14" s="13"/>
      <c r="G14" s="13"/>
      <c r="H14" s="13"/>
      <c r="I14" s="16"/>
      <c r="J14" s="17"/>
      <c r="K14" s="17"/>
      <c r="L14" s="17"/>
      <c r="M14" s="18"/>
    </row>
    <row r="15" spans="5:19" ht="18" hidden="1" customHeight="1" x14ac:dyDescent="0.25">
      <c r="E15" s="36"/>
      <c r="F15" s="13"/>
      <c r="G15" s="13"/>
      <c r="H15" s="13"/>
      <c r="I15" s="16"/>
      <c r="J15" s="17"/>
      <c r="K15" s="17"/>
      <c r="L15" s="17"/>
      <c r="M15" s="18"/>
    </row>
    <row r="16" spans="5:19" ht="18" hidden="1" customHeight="1" x14ac:dyDescent="0.25">
      <c r="E16" s="36"/>
      <c r="F16" s="13"/>
      <c r="G16" s="13"/>
      <c r="H16" s="13"/>
      <c r="I16" s="16"/>
      <c r="J16" s="17"/>
      <c r="K16" s="17"/>
      <c r="L16" s="17"/>
      <c r="M16" s="18"/>
    </row>
    <row r="17" spans="5:13" ht="18" hidden="1" customHeight="1" x14ac:dyDescent="0.25">
      <c r="E17" s="36"/>
      <c r="F17" s="13"/>
      <c r="G17" s="13"/>
      <c r="H17" s="13"/>
      <c r="I17" s="16"/>
      <c r="J17" s="17"/>
      <c r="K17" s="17"/>
      <c r="L17" s="17"/>
      <c r="M17" s="18"/>
    </row>
    <row r="18" spans="5:13" ht="18" hidden="1" customHeight="1" x14ac:dyDescent="0.25">
      <c r="E18" s="36"/>
      <c r="F18" s="13"/>
      <c r="G18" s="13"/>
      <c r="H18" s="13"/>
      <c r="I18" s="16"/>
      <c r="J18" s="17"/>
      <c r="K18" s="17"/>
      <c r="L18" s="17"/>
      <c r="M18" s="18"/>
    </row>
    <row r="19" spans="5:13" ht="18" hidden="1" customHeight="1" x14ac:dyDescent="0.25">
      <c r="E19" s="36"/>
      <c r="F19" s="13"/>
      <c r="G19" s="13"/>
      <c r="H19" s="17"/>
      <c r="I19" s="16"/>
      <c r="J19" s="17"/>
      <c r="K19" s="17"/>
      <c r="L19" s="17"/>
      <c r="M19" s="18"/>
    </row>
    <row r="20" spans="5:13" ht="18" hidden="1" customHeight="1" x14ac:dyDescent="0.25">
      <c r="E20" s="36"/>
      <c r="F20" s="13"/>
      <c r="G20" s="13"/>
      <c r="H20" s="17"/>
      <c r="I20" s="16"/>
      <c r="J20" s="17"/>
      <c r="K20" s="17"/>
      <c r="L20" s="17"/>
      <c r="M20" s="18"/>
    </row>
    <row r="21" spans="5:13" ht="18" hidden="1" customHeight="1" x14ac:dyDescent="0.25">
      <c r="E21" s="36"/>
      <c r="F21" s="13"/>
      <c r="G21" s="13"/>
      <c r="H21" s="17"/>
      <c r="I21" s="16"/>
      <c r="J21" s="17"/>
      <c r="K21" s="17"/>
      <c r="L21" s="17"/>
      <c r="M21" s="18"/>
    </row>
    <row r="22" spans="5:13" ht="18" hidden="1" customHeight="1" x14ac:dyDescent="0.25">
      <c r="E22" s="36"/>
      <c r="F22" s="13"/>
      <c r="G22" s="13"/>
      <c r="H22" s="17"/>
      <c r="I22" s="16"/>
      <c r="J22" s="17"/>
      <c r="K22" s="17"/>
      <c r="L22" s="17"/>
      <c r="M22" s="18"/>
    </row>
    <row r="23" spans="5:13" ht="18" hidden="1" customHeight="1" x14ac:dyDescent="0.25">
      <c r="E23" s="36"/>
      <c r="F23" s="13"/>
      <c r="G23" s="13"/>
      <c r="H23" s="17"/>
      <c r="I23" s="16"/>
      <c r="J23" s="17"/>
      <c r="K23" s="17"/>
      <c r="L23" s="17"/>
      <c r="M23" s="18"/>
    </row>
    <row r="24" spans="5:13" ht="18" hidden="1" customHeight="1" x14ac:dyDescent="0.25">
      <c r="E24" s="36"/>
      <c r="F24" s="13"/>
      <c r="G24" s="13"/>
      <c r="H24" s="17"/>
      <c r="I24" s="16"/>
      <c r="J24" s="17"/>
      <c r="K24" s="17"/>
      <c r="L24" s="17"/>
      <c r="M24" s="18"/>
    </row>
    <row r="25" spans="5:13" ht="18" hidden="1" customHeight="1" x14ac:dyDescent="0.25">
      <c r="E25" s="36"/>
      <c r="F25" s="13"/>
      <c r="G25" s="14"/>
      <c r="H25" s="15"/>
      <c r="I25" s="16"/>
      <c r="J25" s="17"/>
      <c r="K25" s="17"/>
      <c r="L25" s="17"/>
      <c r="M25" s="18"/>
    </row>
    <row r="26" spans="5:13" ht="18" hidden="1" customHeight="1" x14ac:dyDescent="0.25">
      <c r="E26" s="36"/>
      <c r="F26" s="13"/>
      <c r="G26" s="14"/>
      <c r="H26" s="17"/>
      <c r="I26" s="16"/>
      <c r="J26" s="19"/>
      <c r="K26" s="19"/>
      <c r="L26" s="17"/>
      <c r="M26" s="18"/>
    </row>
    <row r="27" spans="5:13" ht="18" hidden="1" customHeight="1" x14ac:dyDescent="0.25">
      <c r="E27" s="36"/>
      <c r="F27" s="13"/>
      <c r="G27" s="13"/>
      <c r="H27" s="17"/>
      <c r="I27" s="16"/>
      <c r="J27" s="17"/>
      <c r="K27" s="17"/>
      <c r="L27" s="17"/>
      <c r="M27" s="18"/>
    </row>
    <row r="28" spans="5:13" ht="18" hidden="1" customHeight="1" x14ac:dyDescent="0.25">
      <c r="E28" s="36"/>
      <c r="F28" s="13"/>
      <c r="G28" s="14"/>
      <c r="H28" s="15"/>
      <c r="I28" s="16"/>
      <c r="J28" s="17"/>
      <c r="K28" s="17"/>
      <c r="L28" s="17"/>
      <c r="M28" s="18"/>
    </row>
    <row r="29" spans="5:13" ht="18" hidden="1" customHeight="1" x14ac:dyDescent="0.25">
      <c r="E29" s="36"/>
      <c r="F29" s="13"/>
      <c r="G29" s="13"/>
      <c r="H29" s="15"/>
      <c r="I29" s="16"/>
      <c r="J29" s="17"/>
      <c r="K29" s="17"/>
      <c r="L29" s="17"/>
      <c r="M29" s="18"/>
    </row>
    <row r="30" spans="5:13" ht="18" hidden="1" customHeight="1" x14ac:dyDescent="0.25">
      <c r="E30" s="36"/>
      <c r="F30" s="13"/>
      <c r="G30" s="13"/>
      <c r="H30" s="17"/>
      <c r="I30" s="16"/>
      <c r="J30" s="17"/>
      <c r="K30" s="17"/>
      <c r="L30" s="17"/>
      <c r="M30" s="18"/>
    </row>
    <row r="31" spans="5:13" ht="18" hidden="1" customHeight="1" x14ac:dyDescent="0.25">
      <c r="E31" s="36"/>
      <c r="F31" s="13"/>
      <c r="G31" s="13"/>
      <c r="H31" s="17"/>
      <c r="I31" s="16"/>
      <c r="J31" s="17"/>
      <c r="K31" s="17"/>
      <c r="L31" s="17"/>
      <c r="M31" s="18"/>
    </row>
    <row r="32" spans="5:13" ht="18" hidden="1" customHeight="1" x14ac:dyDescent="0.25">
      <c r="E32" s="36"/>
      <c r="F32" s="13"/>
      <c r="G32" s="13"/>
      <c r="H32" s="17"/>
      <c r="I32" s="16"/>
      <c r="J32" s="17"/>
      <c r="K32" s="17"/>
      <c r="L32" s="17"/>
      <c r="M32" s="18"/>
    </row>
    <row r="33" spans="5:13" ht="18" hidden="1" customHeight="1" x14ac:dyDescent="0.25">
      <c r="E33" s="36"/>
      <c r="F33" s="13"/>
      <c r="G33" s="13"/>
      <c r="H33" s="17"/>
      <c r="I33" s="16"/>
      <c r="J33" s="17"/>
      <c r="K33" s="17"/>
      <c r="L33" s="17"/>
      <c r="M33" s="18"/>
    </row>
    <row r="34" spans="5:13" ht="18" hidden="1" customHeight="1" x14ac:dyDescent="0.25">
      <c r="E34" s="36"/>
      <c r="F34" s="13"/>
      <c r="G34" s="13"/>
      <c r="H34" s="17"/>
      <c r="I34" s="16"/>
      <c r="J34" s="17"/>
      <c r="K34" s="17"/>
      <c r="L34" s="17"/>
      <c r="M34" s="18"/>
    </row>
    <row r="35" spans="5:13" ht="18" hidden="1" customHeight="1" x14ac:dyDescent="0.25">
      <c r="E35" s="36"/>
      <c r="F35" s="13"/>
      <c r="G35" s="13"/>
      <c r="H35" s="17"/>
      <c r="I35" s="16"/>
      <c r="J35" s="17"/>
      <c r="K35" s="17"/>
      <c r="L35" s="17"/>
      <c r="M35" s="18"/>
    </row>
    <row r="36" spans="5:13" ht="18" hidden="1" customHeight="1" x14ac:dyDescent="0.25">
      <c r="E36" s="36"/>
      <c r="F36" s="13"/>
      <c r="G36" s="13"/>
      <c r="H36" s="17"/>
      <c r="I36" s="16"/>
      <c r="J36" s="17"/>
      <c r="K36" s="17"/>
      <c r="L36" s="17"/>
      <c r="M36" s="18"/>
    </row>
    <row r="37" spans="5:13" ht="18" hidden="1" customHeight="1" x14ac:dyDescent="0.25">
      <c r="E37" s="36"/>
      <c r="F37" s="13"/>
      <c r="G37" s="13"/>
      <c r="H37" s="17"/>
      <c r="I37" s="16"/>
      <c r="J37" s="17"/>
      <c r="K37" s="17"/>
      <c r="L37" s="17"/>
      <c r="M37" s="18"/>
    </row>
    <row r="38" spans="5:13" ht="18" hidden="1" customHeight="1" x14ac:dyDescent="0.25">
      <c r="E38" s="36"/>
      <c r="F38" s="13"/>
      <c r="G38" s="13"/>
      <c r="H38" s="17"/>
      <c r="I38" s="16"/>
      <c r="J38" s="17"/>
      <c r="K38" s="17"/>
      <c r="L38" s="17"/>
      <c r="M38" s="18"/>
    </row>
    <row r="39" spans="5:13" ht="18" hidden="1" customHeight="1" x14ac:dyDescent="0.25">
      <c r="E39" s="36"/>
      <c r="F39" s="13"/>
      <c r="G39" s="13"/>
      <c r="H39" s="17"/>
      <c r="I39" s="16"/>
      <c r="J39" s="17"/>
      <c r="K39" s="17"/>
      <c r="L39" s="17"/>
      <c r="M39" s="18"/>
    </row>
    <row r="40" spans="5:13" ht="18" hidden="1" customHeight="1" x14ac:dyDescent="0.25">
      <c r="E40" s="36"/>
      <c r="F40" s="13"/>
      <c r="G40" s="13"/>
      <c r="H40" s="17"/>
      <c r="I40" s="16"/>
      <c r="J40" s="17"/>
      <c r="K40" s="17"/>
      <c r="L40" s="17"/>
      <c r="M40" s="18"/>
    </row>
    <row r="41" spans="5:13" ht="18" hidden="1" customHeight="1" x14ac:dyDescent="0.25">
      <c r="E41" s="36"/>
      <c r="F41" s="13"/>
      <c r="G41" s="13"/>
      <c r="H41" s="17"/>
      <c r="I41" s="16"/>
      <c r="J41" s="17"/>
      <c r="K41" s="17"/>
      <c r="L41" s="17"/>
      <c r="M41" s="18"/>
    </row>
    <row r="42" spans="5:13" ht="18" hidden="1" customHeight="1" x14ac:dyDescent="0.25">
      <c r="E42" s="36"/>
      <c r="F42" s="13"/>
      <c r="G42" s="13"/>
      <c r="H42" s="17"/>
      <c r="I42" s="16"/>
      <c r="J42" s="17"/>
      <c r="K42" s="17"/>
      <c r="L42" s="17"/>
      <c r="M42" s="18"/>
    </row>
    <row r="43" spans="5:13" ht="18" hidden="1" customHeight="1" x14ac:dyDescent="0.25">
      <c r="E43" s="36"/>
      <c r="F43" s="13"/>
      <c r="G43" s="13"/>
      <c r="H43" s="17"/>
      <c r="I43" s="16"/>
      <c r="J43" s="17"/>
      <c r="K43" s="17"/>
      <c r="L43" s="17"/>
      <c r="M43" s="18"/>
    </row>
    <row r="44" spans="5:13" ht="18" hidden="1" customHeight="1" x14ac:dyDescent="0.25">
      <c r="E44" s="36"/>
      <c r="F44" s="13"/>
      <c r="G44" s="14"/>
      <c r="H44" s="15"/>
      <c r="I44" s="16"/>
      <c r="J44" s="17"/>
      <c r="K44" s="17"/>
      <c r="L44" s="17"/>
      <c r="M44" s="18"/>
    </row>
    <row r="45" spans="5:13" ht="18" hidden="1" customHeight="1" x14ac:dyDescent="0.25">
      <c r="E45" s="36"/>
      <c r="F45" s="13"/>
      <c r="G45" s="13"/>
      <c r="H45" s="15"/>
      <c r="I45" s="16"/>
      <c r="J45" s="17"/>
      <c r="K45" s="17"/>
      <c r="L45" s="17"/>
      <c r="M45" s="18"/>
    </row>
    <row r="46" spans="5:13" ht="18" hidden="1" customHeight="1" x14ac:dyDescent="0.25">
      <c r="E46" s="36"/>
      <c r="F46" s="13"/>
      <c r="G46" s="13"/>
      <c r="H46" s="15"/>
      <c r="I46" s="16"/>
      <c r="J46" s="17"/>
      <c r="K46" s="17"/>
      <c r="L46" s="17"/>
      <c r="M46" s="18"/>
    </row>
    <row r="47" spans="5:13" ht="18" hidden="1" customHeight="1" x14ac:dyDescent="0.25">
      <c r="E47" s="36"/>
      <c r="F47" s="13"/>
      <c r="G47" s="13"/>
      <c r="H47" s="15"/>
      <c r="I47" s="16"/>
      <c r="J47" s="17"/>
      <c r="K47" s="17"/>
      <c r="L47" s="17"/>
      <c r="M47" s="18"/>
    </row>
    <row r="48" spans="5:13" ht="18" hidden="1" customHeight="1" x14ac:dyDescent="0.25">
      <c r="E48" s="36"/>
      <c r="F48" s="13"/>
      <c r="G48" s="13"/>
      <c r="H48" s="13"/>
      <c r="I48" s="16"/>
      <c r="J48" s="17"/>
      <c r="K48" s="17"/>
      <c r="L48" s="17"/>
      <c r="M48" s="18"/>
    </row>
    <row r="49" spans="5:13" ht="18" hidden="1" customHeight="1" x14ac:dyDescent="0.25">
      <c r="E49" s="36"/>
      <c r="F49" s="13"/>
      <c r="G49" s="13"/>
      <c r="H49" s="13"/>
      <c r="I49" s="16"/>
      <c r="J49" s="17"/>
      <c r="K49" s="17"/>
      <c r="L49" s="17"/>
      <c r="M49" s="18"/>
    </row>
    <row r="50" spans="5:13" ht="18" hidden="1" customHeight="1" x14ac:dyDescent="0.25">
      <c r="E50" s="36"/>
      <c r="F50" s="13"/>
      <c r="G50" s="13"/>
      <c r="H50" s="13"/>
      <c r="I50" s="16"/>
      <c r="J50" s="17"/>
      <c r="K50" s="17"/>
      <c r="L50" s="17"/>
      <c r="M50" s="18"/>
    </row>
    <row r="51" spans="5:13" ht="18" hidden="1" customHeight="1" x14ac:dyDescent="0.25">
      <c r="E51" s="36"/>
      <c r="F51" s="13"/>
      <c r="G51" s="13"/>
      <c r="H51" s="13"/>
      <c r="I51" s="16"/>
      <c r="J51" s="17"/>
      <c r="K51" s="17"/>
      <c r="L51" s="17"/>
      <c r="M51" s="18"/>
    </row>
    <row r="52" spans="5:13" ht="18" hidden="1" customHeight="1" x14ac:dyDescent="0.25">
      <c r="E52" s="36"/>
      <c r="F52" s="13"/>
      <c r="G52" s="13"/>
      <c r="H52" s="13"/>
      <c r="I52" s="16"/>
      <c r="J52" s="17"/>
      <c r="K52" s="17"/>
      <c r="L52" s="17"/>
      <c r="M52" s="18"/>
    </row>
    <row r="53" spans="5:13" ht="18" hidden="1" customHeight="1" x14ac:dyDescent="0.25">
      <c r="E53" s="36"/>
      <c r="F53" s="13"/>
      <c r="G53" s="13"/>
      <c r="H53" s="13"/>
      <c r="I53" s="16"/>
      <c r="J53" s="17"/>
      <c r="K53" s="17"/>
      <c r="L53" s="17"/>
      <c r="M53" s="18"/>
    </row>
    <row r="54" spans="5:13" ht="18" hidden="1" customHeight="1" x14ac:dyDescent="0.25">
      <c r="E54" s="36"/>
      <c r="F54" s="13"/>
      <c r="G54" s="13"/>
      <c r="H54" s="13"/>
      <c r="I54" s="16"/>
      <c r="J54" s="17"/>
      <c r="K54" s="17"/>
      <c r="L54" s="17"/>
      <c r="M54" s="18"/>
    </row>
    <row r="55" spans="5:13" ht="18" hidden="1" customHeight="1" x14ac:dyDescent="0.25">
      <c r="E55" s="36"/>
      <c r="F55" s="13"/>
      <c r="G55" s="13"/>
      <c r="H55" s="13"/>
      <c r="I55" s="16"/>
      <c r="J55" s="17"/>
      <c r="K55" s="17"/>
      <c r="L55" s="17"/>
      <c r="M55" s="18"/>
    </row>
    <row r="56" spans="5:13" ht="18" hidden="1" customHeight="1" x14ac:dyDescent="0.25">
      <c r="E56" s="36"/>
      <c r="F56" s="13"/>
      <c r="G56" s="13"/>
      <c r="H56" s="13"/>
      <c r="I56" s="16"/>
      <c r="J56" s="17"/>
      <c r="K56" s="17"/>
      <c r="L56" s="17"/>
      <c r="M56" s="18"/>
    </row>
    <row r="57" spans="5:13" ht="18" hidden="1" customHeight="1" x14ac:dyDescent="0.25">
      <c r="E57" s="36"/>
      <c r="F57" s="13"/>
      <c r="G57" s="13"/>
      <c r="H57" s="13"/>
      <c r="I57" s="16"/>
      <c r="J57" s="17"/>
      <c r="K57" s="17"/>
      <c r="L57" s="17"/>
      <c r="M57" s="18"/>
    </row>
    <row r="58" spans="5:13" ht="18" hidden="1" customHeight="1" x14ac:dyDescent="0.25">
      <c r="E58" s="36"/>
      <c r="F58" s="13"/>
      <c r="G58" s="13"/>
      <c r="H58" s="13"/>
      <c r="I58" s="16"/>
      <c r="J58" s="17"/>
      <c r="K58" s="17"/>
      <c r="L58" s="17"/>
      <c r="M58" s="18"/>
    </row>
    <row r="59" spans="5:13" ht="18" hidden="1" customHeight="1" x14ac:dyDescent="0.25">
      <c r="E59" s="36"/>
      <c r="F59" s="13"/>
      <c r="G59" s="13"/>
      <c r="H59" s="17"/>
      <c r="I59" s="16"/>
      <c r="J59" s="17"/>
      <c r="K59" s="17"/>
      <c r="L59" s="17"/>
      <c r="M59" s="18"/>
    </row>
    <row r="60" spans="5:13" ht="18" hidden="1" customHeight="1" x14ac:dyDescent="0.25">
      <c r="E60" s="36"/>
      <c r="F60" s="13"/>
      <c r="G60" s="13"/>
      <c r="H60" s="17"/>
      <c r="I60" s="16"/>
      <c r="J60" s="17"/>
      <c r="K60" s="17"/>
      <c r="L60" s="17"/>
      <c r="M60" s="18"/>
    </row>
    <row r="61" spans="5:13" ht="18" hidden="1" customHeight="1" x14ac:dyDescent="0.25">
      <c r="E61" s="36"/>
      <c r="F61" s="13"/>
      <c r="G61" s="13"/>
      <c r="H61" s="17"/>
      <c r="I61" s="16"/>
      <c r="J61" s="17"/>
      <c r="K61" s="17"/>
      <c r="L61" s="17"/>
      <c r="M61" s="18"/>
    </row>
    <row r="62" spans="5:13" ht="18" hidden="1" customHeight="1" x14ac:dyDescent="0.25">
      <c r="E62" s="36"/>
      <c r="F62" s="13"/>
      <c r="G62" s="13"/>
      <c r="H62" s="17"/>
      <c r="I62" s="16"/>
      <c r="J62" s="17"/>
      <c r="K62" s="17"/>
      <c r="L62" s="17"/>
      <c r="M62" s="18"/>
    </row>
    <row r="63" spans="5:13" ht="18" hidden="1" customHeight="1" x14ac:dyDescent="0.25">
      <c r="E63" s="36"/>
      <c r="F63" s="13"/>
      <c r="G63" s="13"/>
      <c r="H63" s="17"/>
      <c r="I63" s="16"/>
      <c r="J63" s="17"/>
      <c r="K63" s="17"/>
      <c r="L63" s="17"/>
      <c r="M63" s="18"/>
    </row>
    <row r="64" spans="5:13" ht="18" hidden="1" customHeight="1" x14ac:dyDescent="0.25">
      <c r="E64" s="36"/>
      <c r="F64" s="13"/>
      <c r="G64" s="13"/>
      <c r="H64" s="17"/>
      <c r="I64" s="16"/>
      <c r="J64" s="17"/>
      <c r="K64" s="17"/>
      <c r="L64" s="17"/>
      <c r="M64" s="18"/>
    </row>
    <row r="65" spans="5:13" ht="18" hidden="1" customHeight="1" x14ac:dyDescent="0.25">
      <c r="E65" s="36"/>
      <c r="F65" s="13"/>
      <c r="G65" s="14"/>
      <c r="H65" s="15"/>
      <c r="I65" s="16"/>
      <c r="J65" s="17"/>
      <c r="K65" s="17"/>
      <c r="L65" s="17"/>
      <c r="M65" s="18"/>
    </row>
    <row r="66" spans="5:13" ht="18" hidden="1" customHeight="1" x14ac:dyDescent="0.25">
      <c r="E66" s="36"/>
      <c r="F66" s="13"/>
      <c r="G66" s="14"/>
      <c r="H66" s="17"/>
      <c r="I66" s="16"/>
      <c r="J66" s="19"/>
      <c r="K66" s="19"/>
      <c r="L66" s="17"/>
      <c r="M66" s="18"/>
    </row>
    <row r="67" spans="5:13" ht="18" hidden="1" customHeight="1" x14ac:dyDescent="0.25">
      <c r="E67" s="36"/>
      <c r="F67" s="13"/>
      <c r="G67" s="13"/>
      <c r="H67" s="17"/>
      <c r="I67" s="16"/>
      <c r="J67" s="17"/>
      <c r="K67" s="17"/>
      <c r="L67" s="17"/>
      <c r="M67" s="18"/>
    </row>
    <row r="68" spans="5:13" ht="18" hidden="1" customHeight="1" x14ac:dyDescent="0.25">
      <c r="E68" s="36"/>
      <c r="F68" s="13"/>
      <c r="G68" s="14"/>
      <c r="H68" s="15"/>
      <c r="I68" s="16"/>
      <c r="J68" s="17"/>
      <c r="K68" s="17"/>
      <c r="L68" s="17"/>
      <c r="M68" s="18"/>
    </row>
    <row r="69" spans="5:13" ht="18" hidden="1" customHeight="1" x14ac:dyDescent="0.25">
      <c r="E69" s="36"/>
      <c r="F69" s="13"/>
      <c r="G69" s="13"/>
      <c r="H69" s="15"/>
      <c r="I69" s="16"/>
      <c r="J69" s="17"/>
      <c r="K69" s="17"/>
      <c r="L69" s="17"/>
      <c r="M69" s="18"/>
    </row>
    <row r="70" spans="5:13" ht="18" hidden="1" customHeight="1" x14ac:dyDescent="0.25">
      <c r="E70" s="36"/>
      <c r="F70" s="13"/>
      <c r="G70" s="13"/>
      <c r="H70" s="17"/>
      <c r="I70" s="16"/>
      <c r="J70" s="17"/>
      <c r="K70" s="17"/>
      <c r="L70" s="17"/>
      <c r="M70" s="18"/>
    </row>
    <row r="71" spans="5:13" ht="18" hidden="1" customHeight="1" x14ac:dyDescent="0.25">
      <c r="E71" s="36"/>
      <c r="F71" s="13"/>
      <c r="G71" s="13"/>
      <c r="H71" s="17"/>
      <c r="I71" s="16"/>
      <c r="J71" s="17"/>
      <c r="K71" s="17"/>
      <c r="L71" s="17"/>
      <c r="M71" s="18"/>
    </row>
    <row r="72" spans="5:13" ht="18" hidden="1" customHeight="1" x14ac:dyDescent="0.25">
      <c r="E72" s="36"/>
      <c r="F72" s="13"/>
      <c r="G72" s="13"/>
      <c r="H72" s="17"/>
      <c r="I72" s="16"/>
      <c r="J72" s="17"/>
      <c r="K72" s="17"/>
      <c r="L72" s="17"/>
      <c r="M72" s="18"/>
    </row>
    <row r="73" spans="5:13" ht="18" hidden="1" customHeight="1" x14ac:dyDescent="0.25">
      <c r="E73" s="36"/>
      <c r="F73" s="13"/>
      <c r="G73" s="13"/>
      <c r="H73" s="17"/>
      <c r="I73" s="16"/>
      <c r="J73" s="17"/>
      <c r="K73" s="17"/>
      <c r="L73" s="17"/>
      <c r="M73" s="18"/>
    </row>
    <row r="74" spans="5:13" ht="18" hidden="1" customHeight="1" x14ac:dyDescent="0.25">
      <c r="E74" s="36"/>
      <c r="F74" s="13"/>
      <c r="G74" s="13"/>
      <c r="H74" s="17"/>
      <c r="I74" s="16"/>
      <c r="J74" s="17"/>
      <c r="K74" s="17"/>
      <c r="L74" s="17"/>
      <c r="M74" s="18"/>
    </row>
    <row r="75" spans="5:13" ht="18" hidden="1" customHeight="1" x14ac:dyDescent="0.25">
      <c r="E75" s="36"/>
      <c r="F75" s="13"/>
      <c r="G75" s="13"/>
      <c r="H75" s="17"/>
      <c r="I75" s="16"/>
      <c r="J75" s="17"/>
      <c r="K75" s="17"/>
      <c r="L75" s="17"/>
      <c r="M75" s="18"/>
    </row>
    <row r="76" spans="5:13" ht="18" hidden="1" customHeight="1" x14ac:dyDescent="0.25">
      <c r="E76" s="36"/>
      <c r="F76" s="13"/>
      <c r="G76" s="13"/>
      <c r="H76" s="17"/>
      <c r="I76" s="16"/>
      <c r="J76" s="17"/>
      <c r="K76" s="17"/>
      <c r="L76" s="17"/>
      <c r="M76" s="18"/>
    </row>
    <row r="77" spans="5:13" ht="18" hidden="1" customHeight="1" x14ac:dyDescent="0.25">
      <c r="E77" s="36"/>
      <c r="F77" s="13"/>
      <c r="G77" s="13"/>
      <c r="H77" s="17"/>
      <c r="I77" s="16"/>
      <c r="J77" s="17"/>
      <c r="K77" s="17"/>
      <c r="L77" s="17"/>
      <c r="M77" s="18"/>
    </row>
    <row r="78" spans="5:13" ht="18" hidden="1" customHeight="1" x14ac:dyDescent="0.25">
      <c r="E78" s="36"/>
      <c r="F78" s="13"/>
      <c r="G78" s="13"/>
      <c r="H78" s="17"/>
      <c r="I78" s="16"/>
      <c r="J78" s="17"/>
      <c r="K78" s="17"/>
      <c r="L78" s="17"/>
      <c r="M78" s="18"/>
    </row>
    <row r="79" spans="5:13" ht="18" hidden="1" customHeight="1" x14ac:dyDescent="0.25">
      <c r="E79" s="36"/>
      <c r="F79" s="13"/>
      <c r="G79" s="13"/>
      <c r="H79" s="17"/>
      <c r="I79" s="16"/>
      <c r="J79" s="17"/>
      <c r="K79" s="17"/>
      <c r="L79" s="17"/>
      <c r="M79" s="18"/>
    </row>
    <row r="80" spans="5:13" ht="18" hidden="1" customHeight="1" x14ac:dyDescent="0.25">
      <c r="E80" s="36"/>
      <c r="F80" s="13"/>
      <c r="G80" s="13"/>
      <c r="H80" s="17"/>
      <c r="I80" s="16"/>
      <c r="J80" s="17"/>
      <c r="K80" s="17"/>
      <c r="L80" s="17"/>
      <c r="M80" s="18"/>
    </row>
    <row r="81" spans="5:13" ht="18" hidden="1" customHeight="1" x14ac:dyDescent="0.25">
      <c r="E81" s="36"/>
      <c r="F81" s="13"/>
      <c r="G81" s="13"/>
      <c r="H81" s="17"/>
      <c r="I81" s="16"/>
      <c r="J81" s="17"/>
      <c r="K81" s="17"/>
      <c r="L81" s="17"/>
      <c r="M81" s="18"/>
    </row>
    <row r="82" spans="5:13" ht="18" hidden="1" customHeight="1" x14ac:dyDescent="0.25">
      <c r="E82" s="36"/>
      <c r="F82" s="13"/>
      <c r="G82" s="13"/>
      <c r="H82" s="17"/>
      <c r="I82" s="16"/>
      <c r="J82" s="17"/>
      <c r="K82" s="17"/>
      <c r="L82" s="17"/>
      <c r="M82" s="18"/>
    </row>
    <row r="83" spans="5:13" ht="18" hidden="1" customHeight="1" x14ac:dyDescent="0.25">
      <c r="E83" s="36"/>
      <c r="F83" s="13"/>
      <c r="G83" s="13"/>
      <c r="H83" s="17"/>
      <c r="I83" s="16"/>
      <c r="J83" s="17"/>
      <c r="K83" s="17"/>
      <c r="L83" s="17"/>
      <c r="M83" s="18"/>
    </row>
    <row r="84" spans="5:13" ht="18" hidden="1" customHeight="1" x14ac:dyDescent="0.25">
      <c r="E84" s="36"/>
      <c r="F84" s="13"/>
      <c r="G84" s="13"/>
      <c r="H84" s="17"/>
      <c r="I84" s="17"/>
      <c r="J84" s="19"/>
      <c r="K84" s="19"/>
      <c r="L84" s="17"/>
      <c r="M84" s="18"/>
    </row>
    <row r="85" spans="5:13" ht="18" hidden="1" customHeight="1" x14ac:dyDescent="0.25">
      <c r="E85" s="36"/>
      <c r="F85" s="13"/>
      <c r="G85" s="13"/>
      <c r="H85" s="17"/>
      <c r="I85" s="17"/>
      <c r="J85" s="19"/>
      <c r="K85" s="19"/>
      <c r="L85" s="17"/>
      <c r="M85" s="18"/>
    </row>
    <row r="86" spans="5:13" ht="18" hidden="1" customHeight="1" x14ac:dyDescent="0.25">
      <c r="E86" s="36"/>
      <c r="F86" s="13"/>
      <c r="G86" s="13"/>
      <c r="H86" s="17"/>
      <c r="I86" s="17"/>
      <c r="J86" s="19"/>
      <c r="K86" s="19"/>
      <c r="L86" s="17"/>
      <c r="M86" s="18"/>
    </row>
    <row r="87" spans="5:13" ht="18" hidden="1" customHeight="1" x14ac:dyDescent="0.25">
      <c r="E87" s="36"/>
      <c r="F87" s="13"/>
      <c r="G87" s="13"/>
      <c r="H87" s="17"/>
      <c r="I87" s="17"/>
      <c r="J87" s="19"/>
      <c r="K87" s="19"/>
      <c r="L87" s="17"/>
      <c r="M87" s="18"/>
    </row>
    <row r="88" spans="5:13" ht="18" hidden="1" customHeight="1" x14ac:dyDescent="0.25">
      <c r="E88" s="36"/>
      <c r="F88" s="13"/>
      <c r="G88" s="13"/>
      <c r="H88" s="17"/>
      <c r="I88" s="17"/>
      <c r="J88" s="19"/>
      <c r="K88" s="19"/>
      <c r="L88" s="17"/>
      <c r="M88" s="18"/>
    </row>
    <row r="89" spans="5:13" ht="18" hidden="1" customHeight="1" x14ac:dyDescent="0.25">
      <c r="E89" s="36"/>
      <c r="F89" s="13"/>
      <c r="G89" s="13"/>
      <c r="H89" s="17"/>
      <c r="I89" s="17"/>
      <c r="J89" s="19"/>
      <c r="K89" s="19"/>
      <c r="L89" s="17"/>
      <c r="M89" s="18"/>
    </row>
    <row r="90" spans="5:13" ht="18" hidden="1" customHeight="1" x14ac:dyDescent="0.25">
      <c r="E90" s="36"/>
      <c r="F90" s="13"/>
      <c r="G90" s="13"/>
      <c r="H90" s="17"/>
      <c r="I90" s="17"/>
      <c r="J90" s="19"/>
      <c r="K90" s="19"/>
      <c r="L90" s="17"/>
      <c r="M90" s="18"/>
    </row>
    <row r="91" spans="5:13" ht="18" hidden="1" customHeight="1" x14ac:dyDescent="0.25">
      <c r="E91" s="36"/>
      <c r="F91" s="13"/>
      <c r="G91" s="13"/>
      <c r="H91" s="17"/>
      <c r="I91" s="17"/>
      <c r="J91" s="19"/>
      <c r="K91" s="19"/>
      <c r="L91" s="17"/>
      <c r="M91" s="18"/>
    </row>
    <row r="92" spans="5:13" ht="18" hidden="1" customHeight="1" x14ac:dyDescent="0.25">
      <c r="E92" s="36"/>
      <c r="F92" s="13"/>
      <c r="G92" s="13"/>
      <c r="H92" s="17"/>
      <c r="I92" s="17"/>
      <c r="J92" s="19"/>
      <c r="K92" s="19"/>
      <c r="L92" s="17"/>
      <c r="M92" s="18"/>
    </row>
    <row r="93" spans="5:13" ht="18" hidden="1" customHeight="1" x14ac:dyDescent="0.25">
      <c r="E93" s="36"/>
      <c r="F93" s="13"/>
      <c r="G93" s="13"/>
      <c r="H93" s="17"/>
      <c r="I93" s="17"/>
      <c r="J93" s="19"/>
      <c r="K93" s="19"/>
      <c r="L93" s="17"/>
      <c r="M93" s="18"/>
    </row>
    <row r="94" spans="5:13" ht="18" hidden="1" customHeight="1" x14ac:dyDescent="0.25">
      <c r="E94" s="36"/>
      <c r="F94" s="13"/>
      <c r="G94" s="13"/>
      <c r="H94" s="17"/>
      <c r="I94" s="17"/>
      <c r="J94" s="19"/>
      <c r="K94" s="19"/>
      <c r="L94" s="17"/>
      <c r="M94" s="18"/>
    </row>
    <row r="95" spans="5:13" ht="18" hidden="1" customHeight="1" x14ac:dyDescent="0.25">
      <c r="E95" s="36"/>
      <c r="F95" s="13"/>
      <c r="G95" s="13"/>
      <c r="H95" s="17"/>
      <c r="I95" s="17"/>
      <c r="J95" s="19"/>
      <c r="K95" s="19"/>
      <c r="L95" s="17"/>
      <c r="M95" s="18"/>
    </row>
    <row r="96" spans="5:13" ht="18" hidden="1" customHeight="1" x14ac:dyDescent="0.25">
      <c r="E96" s="36"/>
      <c r="F96" s="13"/>
      <c r="G96" s="13"/>
      <c r="H96" s="17"/>
      <c r="I96" s="17"/>
      <c r="J96" s="19"/>
      <c r="K96" s="19"/>
      <c r="L96" s="17"/>
      <c r="M96" s="18"/>
    </row>
    <row r="97" spans="5:13" ht="18" hidden="1" customHeight="1" x14ac:dyDescent="0.25">
      <c r="E97" s="36"/>
      <c r="F97" s="13"/>
      <c r="G97" s="13"/>
      <c r="H97" s="17"/>
      <c r="I97" s="17"/>
      <c r="J97" s="19"/>
      <c r="K97" s="19"/>
      <c r="L97" s="17"/>
      <c r="M97" s="18"/>
    </row>
    <row r="98" spans="5:13" ht="18" hidden="1" customHeight="1" x14ac:dyDescent="0.25">
      <c r="E98" s="36"/>
      <c r="F98" s="13"/>
      <c r="G98" s="13"/>
      <c r="H98" s="17"/>
      <c r="I98" s="17"/>
      <c r="J98" s="19"/>
      <c r="K98" s="19"/>
      <c r="L98" s="17"/>
      <c r="M98" s="18"/>
    </row>
    <row r="99" spans="5:13" ht="18" hidden="1" customHeight="1" x14ac:dyDescent="0.25">
      <c r="E99" s="36"/>
      <c r="F99" s="13"/>
      <c r="G99" s="13"/>
      <c r="H99" s="17"/>
      <c r="I99" s="17"/>
      <c r="J99" s="19"/>
      <c r="K99" s="19"/>
      <c r="L99" s="17"/>
      <c r="M99" s="18"/>
    </row>
    <row r="100" spans="5:13" ht="18" hidden="1" customHeight="1" x14ac:dyDescent="0.25">
      <c r="E100" s="36"/>
      <c r="F100" s="13"/>
      <c r="G100" s="13"/>
      <c r="H100" s="17"/>
      <c r="I100" s="17"/>
      <c r="J100" s="19"/>
      <c r="K100" s="19"/>
      <c r="L100" s="17"/>
      <c r="M100" s="18"/>
    </row>
    <row r="101" spans="5:13" ht="18" hidden="1" customHeight="1" x14ac:dyDescent="0.25">
      <c r="E101" s="36"/>
      <c r="F101" s="13"/>
      <c r="G101" s="13"/>
      <c r="H101" s="17"/>
      <c r="I101" s="17"/>
      <c r="J101" s="19"/>
      <c r="K101" s="19"/>
      <c r="L101" s="17"/>
      <c r="M101" s="18"/>
    </row>
    <row r="102" spans="5:13" ht="18" hidden="1" customHeight="1" x14ac:dyDescent="0.25">
      <c r="E102" s="36"/>
      <c r="F102" s="13"/>
      <c r="G102" s="13"/>
      <c r="H102" s="17"/>
      <c r="I102" s="17"/>
      <c r="J102" s="19"/>
      <c r="K102" s="19"/>
      <c r="L102" s="17"/>
      <c r="M102" s="18"/>
    </row>
    <row r="103" spans="5:13" ht="18" hidden="1" customHeight="1" x14ac:dyDescent="0.25">
      <c r="E103" s="36"/>
      <c r="F103" s="13"/>
      <c r="G103" s="13"/>
      <c r="H103" s="17"/>
      <c r="I103" s="17"/>
      <c r="J103" s="19"/>
      <c r="K103" s="19"/>
      <c r="L103" s="17"/>
      <c r="M103" s="18"/>
    </row>
    <row r="104" spans="5:13" ht="18" hidden="1" customHeight="1" x14ac:dyDescent="0.25">
      <c r="E104" s="36"/>
      <c r="F104" s="13"/>
      <c r="G104" s="13"/>
      <c r="H104" s="17"/>
      <c r="I104" s="17"/>
      <c r="J104" s="19"/>
      <c r="K104" s="19"/>
      <c r="L104" s="17"/>
      <c r="M104" s="18"/>
    </row>
    <row r="105" spans="5:13" ht="18" hidden="1" customHeight="1" x14ac:dyDescent="0.25">
      <c r="E105" s="36"/>
      <c r="F105" s="13"/>
      <c r="G105" s="13"/>
      <c r="H105" s="17"/>
      <c r="I105" s="17"/>
      <c r="J105" s="19"/>
      <c r="K105" s="19"/>
      <c r="L105" s="17"/>
      <c r="M105" s="18"/>
    </row>
    <row r="106" spans="5:13" ht="18" hidden="1" customHeight="1" x14ac:dyDescent="0.25">
      <c r="E106" s="36"/>
      <c r="F106" s="13"/>
      <c r="G106" s="13"/>
      <c r="H106" s="17"/>
      <c r="I106" s="17"/>
      <c r="J106" s="19"/>
      <c r="K106" s="19"/>
      <c r="L106" s="17"/>
      <c r="M106" s="18"/>
    </row>
    <row r="107" spans="5:13" ht="18" hidden="1" customHeight="1" x14ac:dyDescent="0.25">
      <c r="E107" s="36"/>
      <c r="F107" s="13"/>
      <c r="G107" s="13"/>
      <c r="H107" s="17"/>
      <c r="I107" s="17"/>
      <c r="J107" s="19"/>
      <c r="K107" s="19"/>
      <c r="L107" s="17"/>
      <c r="M107" s="18"/>
    </row>
    <row r="108" spans="5:13" ht="18" hidden="1" customHeight="1" x14ac:dyDescent="0.25">
      <c r="E108" s="36"/>
      <c r="F108" s="13"/>
      <c r="G108" s="13"/>
      <c r="H108" s="17"/>
      <c r="I108" s="17"/>
      <c r="J108" s="19"/>
      <c r="K108" s="19"/>
      <c r="L108" s="17"/>
      <c r="M108" s="18"/>
    </row>
    <row r="109" spans="5:13" ht="18" hidden="1" customHeight="1" x14ac:dyDescent="0.25">
      <c r="E109" s="36"/>
      <c r="F109" s="13"/>
      <c r="G109" s="13"/>
      <c r="H109" s="17"/>
      <c r="I109" s="17"/>
      <c r="J109" s="19"/>
      <c r="K109" s="19"/>
      <c r="L109" s="17"/>
      <c r="M109" s="18"/>
    </row>
    <row r="110" spans="5:13" ht="18" hidden="1" customHeight="1" x14ac:dyDescent="0.25">
      <c r="E110" s="36"/>
      <c r="F110" s="13"/>
      <c r="G110" s="13"/>
      <c r="H110" s="17"/>
      <c r="I110" s="17"/>
      <c r="J110" s="19"/>
      <c r="K110" s="19"/>
      <c r="L110" s="17"/>
      <c r="M110" s="18"/>
    </row>
    <row r="111" spans="5:13" ht="18" hidden="1" customHeight="1" x14ac:dyDescent="0.25">
      <c r="E111" s="36"/>
      <c r="F111" s="13"/>
      <c r="G111" s="13"/>
      <c r="H111" s="17"/>
      <c r="I111" s="17"/>
      <c r="J111" s="19"/>
      <c r="K111" s="19"/>
      <c r="L111" s="17"/>
      <c r="M111" s="18"/>
    </row>
    <row r="112" spans="5:13" ht="18" hidden="1" customHeight="1" x14ac:dyDescent="0.25">
      <c r="E112" s="36"/>
      <c r="F112" s="13"/>
      <c r="G112" s="13"/>
      <c r="H112" s="17"/>
      <c r="I112" s="17"/>
      <c r="J112" s="19"/>
      <c r="K112" s="19"/>
      <c r="L112" s="17"/>
      <c r="M112" s="18"/>
    </row>
    <row r="113" spans="5:13" ht="18" hidden="1" customHeight="1" x14ac:dyDescent="0.25">
      <c r="E113" s="36"/>
      <c r="F113" s="13"/>
      <c r="G113" s="13"/>
      <c r="H113" s="17"/>
      <c r="I113" s="17"/>
      <c r="J113" s="19"/>
      <c r="K113" s="19"/>
      <c r="L113" s="17"/>
      <c r="M113" s="18"/>
    </row>
    <row r="114" spans="5:13" ht="18" hidden="1" customHeight="1" x14ac:dyDescent="0.25">
      <c r="E114" s="36"/>
      <c r="F114" s="13"/>
      <c r="G114" s="13"/>
      <c r="H114" s="17"/>
      <c r="I114" s="17"/>
      <c r="J114" s="19"/>
      <c r="K114" s="19"/>
      <c r="L114" s="17"/>
      <c r="M114" s="18"/>
    </row>
    <row r="115" spans="5:13" ht="18" hidden="1" customHeight="1" x14ac:dyDescent="0.25">
      <c r="E115" s="36"/>
      <c r="F115" s="13"/>
      <c r="G115" s="13"/>
      <c r="H115" s="17"/>
      <c r="I115" s="17"/>
      <c r="J115" s="19"/>
      <c r="K115" s="19"/>
      <c r="L115" s="17"/>
      <c r="M115" s="18"/>
    </row>
    <row r="116" spans="5:13" ht="18" hidden="1" customHeight="1" x14ac:dyDescent="0.25">
      <c r="E116" s="36"/>
      <c r="F116" s="13"/>
      <c r="G116" s="13"/>
      <c r="H116" s="17"/>
      <c r="I116" s="17"/>
      <c r="J116" s="19"/>
      <c r="K116" s="19"/>
      <c r="L116" s="17"/>
      <c r="M116" s="18"/>
    </row>
    <row r="117" spans="5:13" ht="18" hidden="1" customHeight="1" x14ac:dyDescent="0.25">
      <c r="E117" s="36"/>
      <c r="F117" s="13"/>
      <c r="G117" s="13"/>
      <c r="H117" s="17"/>
      <c r="I117" s="17"/>
      <c r="J117" s="19"/>
      <c r="K117" s="19"/>
      <c r="L117" s="17"/>
      <c r="M117" s="18"/>
    </row>
    <row r="118" spans="5:13" ht="18" hidden="1" customHeight="1" x14ac:dyDescent="0.25">
      <c r="E118" s="36"/>
      <c r="F118" s="13"/>
      <c r="G118" s="13"/>
      <c r="H118" s="17"/>
      <c r="I118" s="17"/>
      <c r="J118" s="19"/>
      <c r="K118" s="19"/>
      <c r="L118" s="17"/>
      <c r="M118" s="18"/>
    </row>
    <row r="119" spans="5:13" ht="18" hidden="1" customHeight="1" x14ac:dyDescent="0.25">
      <c r="E119" s="36"/>
      <c r="F119" s="13"/>
      <c r="G119" s="13"/>
      <c r="H119" s="17"/>
      <c r="I119" s="17"/>
      <c r="J119" s="19"/>
      <c r="K119" s="19"/>
      <c r="L119" s="17"/>
      <c r="M119" s="18"/>
    </row>
    <row r="120" spans="5:13" ht="18" hidden="1" customHeight="1" x14ac:dyDescent="0.25">
      <c r="E120" s="36"/>
      <c r="F120" s="13"/>
      <c r="G120" s="13"/>
      <c r="H120" s="17"/>
      <c r="I120" s="17"/>
      <c r="J120" s="19"/>
      <c r="K120" s="19"/>
      <c r="L120" s="17"/>
      <c r="M120" s="18"/>
    </row>
    <row r="121" spans="5:13" ht="18" hidden="1" customHeight="1" x14ac:dyDescent="0.25">
      <c r="E121" s="36"/>
      <c r="F121" s="13"/>
      <c r="G121" s="13"/>
      <c r="H121" s="17"/>
      <c r="I121" s="17"/>
      <c r="J121" s="19"/>
      <c r="K121" s="19"/>
      <c r="L121" s="17"/>
      <c r="M121" s="18"/>
    </row>
    <row r="122" spans="5:13" ht="18" hidden="1" customHeight="1" x14ac:dyDescent="0.25">
      <c r="E122" s="36"/>
      <c r="F122" s="13"/>
      <c r="G122" s="13"/>
      <c r="H122" s="17"/>
      <c r="I122" s="17"/>
      <c r="J122" s="19"/>
      <c r="K122" s="19"/>
      <c r="L122" s="17"/>
      <c r="M122" s="18"/>
    </row>
    <row r="123" spans="5:13" ht="18" hidden="1" customHeight="1" x14ac:dyDescent="0.25">
      <c r="E123" s="36"/>
      <c r="F123" s="13"/>
      <c r="G123" s="13"/>
      <c r="H123" s="17"/>
      <c r="I123" s="17"/>
      <c r="J123" s="19"/>
      <c r="K123" s="19"/>
      <c r="L123" s="17"/>
      <c r="M123" s="18"/>
    </row>
    <row r="124" spans="5:13" ht="18" hidden="1" customHeight="1" x14ac:dyDescent="0.25">
      <c r="E124" s="36"/>
      <c r="F124" s="13"/>
      <c r="G124" s="13"/>
      <c r="H124" s="17"/>
      <c r="I124" s="17"/>
      <c r="J124" s="19"/>
      <c r="K124" s="19"/>
      <c r="L124" s="17"/>
      <c r="M124" s="18"/>
    </row>
    <row r="125" spans="5:13" ht="18" hidden="1" customHeight="1" x14ac:dyDescent="0.25">
      <c r="E125" s="36"/>
      <c r="F125" s="13"/>
      <c r="G125" s="13"/>
      <c r="H125" s="17"/>
      <c r="I125" s="17"/>
      <c r="J125" s="19"/>
      <c r="K125" s="19"/>
      <c r="L125" s="17"/>
      <c r="M125" s="18"/>
    </row>
    <row r="126" spans="5:13" ht="18" hidden="1" customHeight="1" x14ac:dyDescent="0.25">
      <c r="E126" s="36"/>
      <c r="F126" s="13"/>
      <c r="G126" s="13"/>
      <c r="H126" s="17"/>
      <c r="I126" s="17"/>
      <c r="J126" s="19"/>
      <c r="K126" s="19"/>
      <c r="L126" s="17"/>
      <c r="M126" s="18"/>
    </row>
    <row r="127" spans="5:13" ht="18" hidden="1" customHeight="1" x14ac:dyDescent="0.25">
      <c r="E127" s="36"/>
      <c r="F127" s="13"/>
      <c r="G127" s="13"/>
      <c r="H127" s="17"/>
      <c r="I127" s="17"/>
      <c r="J127" s="19"/>
      <c r="K127" s="19"/>
      <c r="L127" s="17"/>
      <c r="M127" s="18"/>
    </row>
    <row r="128" spans="5:13" ht="18" hidden="1" customHeight="1" x14ac:dyDescent="0.25">
      <c r="E128" s="36"/>
      <c r="F128" s="13"/>
      <c r="G128" s="13"/>
      <c r="H128" s="17"/>
      <c r="I128" s="17"/>
      <c r="J128" s="19"/>
      <c r="K128" s="19"/>
      <c r="L128" s="17"/>
      <c r="M128" s="18"/>
    </row>
    <row r="129" spans="5:13" ht="18" hidden="1" customHeight="1" x14ac:dyDescent="0.25">
      <c r="E129" s="36"/>
      <c r="F129" s="13"/>
      <c r="G129" s="13"/>
      <c r="H129" s="17"/>
      <c r="I129" s="17"/>
      <c r="J129" s="19"/>
      <c r="K129" s="19"/>
      <c r="L129" s="17"/>
      <c r="M129" s="18"/>
    </row>
    <row r="130" spans="5:13" ht="18" hidden="1" customHeight="1" x14ac:dyDescent="0.25">
      <c r="E130" s="36"/>
      <c r="F130" s="13"/>
      <c r="G130" s="13"/>
      <c r="H130" s="17"/>
      <c r="I130" s="17"/>
      <c r="J130" s="19"/>
      <c r="K130" s="19"/>
      <c r="L130" s="17"/>
      <c r="M130" s="18"/>
    </row>
    <row r="131" spans="5:13" ht="18" hidden="1" customHeight="1" x14ac:dyDescent="0.25">
      <c r="E131" s="36"/>
      <c r="F131" s="13"/>
      <c r="G131" s="13"/>
      <c r="H131" s="17"/>
      <c r="I131" s="17"/>
      <c r="J131" s="19"/>
      <c r="K131" s="19"/>
      <c r="L131" s="17"/>
      <c r="M131" s="18"/>
    </row>
    <row r="132" spans="5:13" ht="18" hidden="1" customHeight="1" x14ac:dyDescent="0.25">
      <c r="E132" s="36"/>
      <c r="F132" s="13"/>
      <c r="G132" s="13"/>
      <c r="H132" s="17"/>
      <c r="I132" s="17"/>
      <c r="J132" s="19"/>
      <c r="K132" s="19"/>
      <c r="L132" s="17"/>
      <c r="M132" s="18"/>
    </row>
    <row r="133" spans="5:13" ht="18" hidden="1" customHeight="1" x14ac:dyDescent="0.25">
      <c r="E133" s="36"/>
      <c r="F133" s="13"/>
      <c r="G133" s="13"/>
      <c r="H133" s="17"/>
      <c r="I133" s="17"/>
      <c r="J133" s="19"/>
      <c r="K133" s="19"/>
      <c r="L133" s="17"/>
      <c r="M133" s="18"/>
    </row>
    <row r="134" spans="5:13" ht="18" hidden="1" customHeight="1" x14ac:dyDescent="0.25">
      <c r="E134" s="36"/>
      <c r="F134" s="13"/>
      <c r="G134" s="13"/>
      <c r="H134" s="17"/>
      <c r="I134" s="17"/>
      <c r="J134" s="19"/>
      <c r="K134" s="19"/>
      <c r="L134" s="17"/>
      <c r="M134" s="18"/>
    </row>
    <row r="135" spans="5:13" ht="18" hidden="1" customHeight="1" x14ac:dyDescent="0.25">
      <c r="E135" s="36"/>
      <c r="F135" s="13"/>
      <c r="G135" s="13"/>
      <c r="H135" s="17"/>
      <c r="I135" s="17"/>
      <c r="J135" s="19"/>
      <c r="K135" s="19"/>
      <c r="L135" s="17"/>
      <c r="M135" s="18"/>
    </row>
    <row r="136" spans="5:13" ht="18" hidden="1" customHeight="1" x14ac:dyDescent="0.25">
      <c r="E136" s="36"/>
      <c r="F136" s="13"/>
      <c r="G136" s="13"/>
      <c r="H136" s="17"/>
      <c r="I136" s="17"/>
      <c r="J136" s="19"/>
      <c r="K136" s="19"/>
      <c r="L136" s="17"/>
      <c r="M136" s="18"/>
    </row>
    <row r="137" spans="5:13" ht="18" hidden="1" customHeight="1" x14ac:dyDescent="0.25">
      <c r="E137" s="36"/>
      <c r="F137" s="13"/>
      <c r="G137" s="13"/>
      <c r="H137" s="17"/>
      <c r="I137" s="17"/>
      <c r="J137" s="19"/>
      <c r="K137" s="19"/>
      <c r="L137" s="17"/>
      <c r="M137" s="18"/>
    </row>
    <row r="138" spans="5:13" ht="18" hidden="1" customHeight="1" x14ac:dyDescent="0.25">
      <c r="E138" s="36"/>
      <c r="F138" s="13"/>
      <c r="G138" s="13"/>
      <c r="H138" s="17"/>
      <c r="I138" s="17"/>
      <c r="J138" s="19"/>
      <c r="K138" s="19"/>
      <c r="L138" s="17"/>
      <c r="M138" s="18"/>
    </row>
    <row r="139" spans="5:13" ht="18" hidden="1" customHeight="1" x14ac:dyDescent="0.25">
      <c r="E139" s="36"/>
      <c r="F139" s="13"/>
      <c r="G139" s="13"/>
      <c r="H139" s="17"/>
      <c r="I139" s="17"/>
      <c r="J139" s="19"/>
      <c r="K139" s="19"/>
      <c r="L139" s="17"/>
      <c r="M139" s="18"/>
    </row>
    <row r="140" spans="5:13" ht="18" hidden="1" customHeight="1" x14ac:dyDescent="0.25">
      <c r="E140" s="36"/>
      <c r="F140" s="13"/>
      <c r="G140" s="13"/>
      <c r="H140" s="17"/>
      <c r="I140" s="17"/>
      <c r="J140" s="19"/>
      <c r="K140" s="19"/>
      <c r="L140" s="17"/>
      <c r="M140" s="18"/>
    </row>
    <row r="141" spans="5:13" ht="18" hidden="1" customHeight="1" x14ac:dyDescent="0.25">
      <c r="E141" s="36"/>
      <c r="F141" s="13"/>
      <c r="G141" s="13"/>
      <c r="H141" s="17"/>
      <c r="I141" s="17"/>
      <c r="J141" s="19"/>
      <c r="K141" s="19"/>
      <c r="L141" s="17"/>
      <c r="M141" s="18"/>
    </row>
    <row r="142" spans="5:13" ht="18" hidden="1" customHeight="1" x14ac:dyDescent="0.25">
      <c r="E142" s="36"/>
      <c r="F142" s="13"/>
      <c r="G142" s="13"/>
      <c r="H142" s="17"/>
      <c r="I142" s="17"/>
      <c r="J142" s="19"/>
      <c r="K142" s="19"/>
      <c r="L142" s="17"/>
      <c r="M142" s="18"/>
    </row>
    <row r="143" spans="5:13" ht="18" hidden="1" customHeight="1" x14ac:dyDescent="0.25">
      <c r="E143" s="36"/>
      <c r="F143" s="13"/>
      <c r="G143" s="13"/>
      <c r="H143" s="17"/>
      <c r="I143" s="17"/>
      <c r="J143" s="19"/>
      <c r="K143" s="19"/>
      <c r="L143" s="17"/>
      <c r="M143" s="18"/>
    </row>
    <row r="144" spans="5:13" ht="18" hidden="1" customHeight="1" x14ac:dyDescent="0.25">
      <c r="E144" s="36"/>
      <c r="F144" s="13"/>
      <c r="G144" s="13"/>
      <c r="H144" s="17"/>
      <c r="I144" s="17"/>
      <c r="J144" s="19"/>
      <c r="K144" s="19"/>
      <c r="L144" s="17"/>
      <c r="M144" s="18"/>
    </row>
    <row r="145" spans="5:13" ht="18" hidden="1" customHeight="1" x14ac:dyDescent="0.25">
      <c r="E145" s="36"/>
      <c r="F145" s="13"/>
      <c r="G145" s="13"/>
      <c r="H145" s="17"/>
      <c r="I145" s="17"/>
      <c r="J145" s="19"/>
      <c r="K145" s="19"/>
      <c r="L145" s="17"/>
      <c r="M145" s="18"/>
    </row>
    <row r="146" spans="5:13" ht="18" hidden="1" customHeight="1" x14ac:dyDescent="0.25">
      <c r="E146" s="36"/>
      <c r="F146" s="13"/>
      <c r="G146" s="13"/>
      <c r="H146" s="17"/>
      <c r="I146" s="17"/>
      <c r="J146" s="19"/>
      <c r="K146" s="19"/>
      <c r="L146" s="17"/>
      <c r="M146" s="18"/>
    </row>
    <row r="147" spans="5:13" ht="18" hidden="1" customHeight="1" x14ac:dyDescent="0.25">
      <c r="E147" s="36"/>
      <c r="F147" s="13"/>
      <c r="G147" s="13"/>
      <c r="H147" s="17"/>
      <c r="I147" s="17"/>
      <c r="J147" s="19"/>
      <c r="K147" s="19"/>
      <c r="L147" s="17"/>
      <c r="M147" s="18"/>
    </row>
    <row r="148" spans="5:13" ht="18" hidden="1" customHeight="1" x14ac:dyDescent="0.25">
      <c r="E148" s="36"/>
      <c r="F148" s="13"/>
      <c r="G148" s="13"/>
      <c r="H148" s="17"/>
      <c r="I148" s="17"/>
      <c r="J148" s="19"/>
      <c r="K148" s="19"/>
      <c r="L148" s="17"/>
      <c r="M148" s="18"/>
    </row>
    <row r="149" spans="5:13" ht="18" hidden="1" customHeight="1" x14ac:dyDescent="0.25">
      <c r="E149" s="36"/>
      <c r="F149" s="13"/>
      <c r="G149" s="13"/>
      <c r="H149" s="17"/>
      <c r="I149" s="17"/>
      <c r="J149" s="19"/>
      <c r="K149" s="19"/>
      <c r="L149" s="17"/>
      <c r="M149" s="18"/>
    </row>
    <row r="150" spans="5:13" ht="18" hidden="1" customHeight="1" x14ac:dyDescent="0.25">
      <c r="E150" s="36"/>
      <c r="F150" s="13"/>
      <c r="G150" s="13"/>
      <c r="H150" s="17"/>
      <c r="I150" s="17"/>
      <c r="J150" s="19"/>
      <c r="K150" s="19"/>
      <c r="L150" s="17"/>
      <c r="M150" s="18"/>
    </row>
    <row r="151" spans="5:13" ht="18" hidden="1" customHeight="1" x14ac:dyDescent="0.25">
      <c r="E151" s="36"/>
      <c r="F151" s="13"/>
      <c r="G151" s="13"/>
      <c r="H151" s="17"/>
      <c r="I151" s="17"/>
      <c r="J151" s="19"/>
      <c r="K151" s="19"/>
      <c r="L151" s="17"/>
      <c r="M151" s="18"/>
    </row>
    <row r="152" spans="5:13" ht="18" hidden="1" customHeight="1" x14ac:dyDescent="0.25">
      <c r="E152" s="36"/>
      <c r="F152" s="13"/>
      <c r="G152" s="13"/>
      <c r="H152" s="17"/>
      <c r="I152" s="17"/>
      <c r="J152" s="19"/>
      <c r="K152" s="19"/>
      <c r="L152" s="17"/>
      <c r="M152" s="18"/>
    </row>
    <row r="153" spans="5:13" ht="18" hidden="1" customHeight="1" x14ac:dyDescent="0.25">
      <c r="E153" s="36"/>
      <c r="F153" s="13"/>
      <c r="G153" s="13"/>
      <c r="H153" s="17"/>
      <c r="I153" s="17"/>
      <c r="J153" s="19"/>
      <c r="K153" s="19"/>
      <c r="L153" s="17"/>
      <c r="M153" s="18"/>
    </row>
    <row r="154" spans="5:13" ht="18" hidden="1" customHeight="1" x14ac:dyDescent="0.25">
      <c r="E154" s="36"/>
      <c r="F154" s="13"/>
      <c r="G154" s="13"/>
      <c r="H154" s="17"/>
      <c r="I154" s="17"/>
      <c r="J154" s="19"/>
      <c r="K154" s="19"/>
      <c r="L154" s="17"/>
      <c r="M154" s="18"/>
    </row>
    <row r="155" spans="5:13" ht="18" hidden="1" customHeight="1" x14ac:dyDescent="0.25">
      <c r="E155" s="36"/>
      <c r="F155" s="13"/>
      <c r="G155" s="13"/>
      <c r="H155" s="17"/>
      <c r="I155" s="17"/>
      <c r="J155" s="19"/>
      <c r="K155" s="19"/>
      <c r="L155" s="17"/>
      <c r="M155" s="18"/>
    </row>
    <row r="156" spans="5:13" ht="18" hidden="1" customHeight="1" x14ac:dyDescent="0.25">
      <c r="E156" s="36"/>
      <c r="F156" s="13"/>
      <c r="G156" s="13"/>
      <c r="H156" s="17"/>
      <c r="I156" s="17"/>
      <c r="J156" s="19"/>
      <c r="K156" s="19"/>
      <c r="L156" s="17"/>
      <c r="M156" s="18"/>
    </row>
    <row r="157" spans="5:13" ht="18" hidden="1" customHeight="1" x14ac:dyDescent="0.25">
      <c r="E157" s="36"/>
      <c r="F157" s="13"/>
      <c r="G157" s="13"/>
      <c r="H157" s="17"/>
      <c r="I157" s="17"/>
      <c r="J157" s="19"/>
      <c r="K157" s="19"/>
      <c r="L157" s="17"/>
      <c r="M157" s="18"/>
    </row>
    <row r="158" spans="5:13" ht="18" hidden="1" customHeight="1" x14ac:dyDescent="0.25">
      <c r="E158" s="36"/>
      <c r="F158" s="13"/>
      <c r="G158" s="13"/>
      <c r="H158" s="17"/>
      <c r="I158" s="17"/>
      <c r="J158" s="19"/>
      <c r="K158" s="19"/>
      <c r="L158" s="17"/>
      <c r="M158" s="18"/>
    </row>
    <row r="159" spans="5:13" ht="18" hidden="1" customHeight="1" x14ac:dyDescent="0.25">
      <c r="E159" s="36"/>
      <c r="F159" s="13"/>
      <c r="G159" s="13"/>
      <c r="H159" s="17"/>
      <c r="I159" s="17"/>
      <c r="J159" s="19"/>
      <c r="K159" s="19"/>
      <c r="L159" s="17"/>
      <c r="M159" s="18"/>
    </row>
    <row r="160" spans="5:13" ht="18" hidden="1" customHeight="1" x14ac:dyDescent="0.25">
      <c r="E160" s="36"/>
      <c r="F160" s="13"/>
      <c r="G160" s="13"/>
      <c r="H160" s="17"/>
      <c r="I160" s="17"/>
      <c r="J160" s="19"/>
      <c r="K160" s="19"/>
      <c r="L160" s="17"/>
      <c r="M160" s="18"/>
    </row>
    <row r="161" spans="5:13" ht="18" hidden="1" customHeight="1" x14ac:dyDescent="0.25">
      <c r="E161" s="36"/>
      <c r="F161" s="13"/>
      <c r="G161" s="13"/>
      <c r="H161" s="17"/>
      <c r="I161" s="17"/>
      <c r="J161" s="19"/>
      <c r="K161" s="19"/>
      <c r="L161" s="17"/>
      <c r="M161" s="18"/>
    </row>
    <row r="162" spans="5:13" ht="18" hidden="1" customHeight="1" x14ac:dyDescent="0.25">
      <c r="E162" s="36"/>
      <c r="F162" s="13"/>
      <c r="G162" s="13"/>
      <c r="H162" s="17"/>
      <c r="I162" s="17"/>
      <c r="J162" s="19"/>
      <c r="K162" s="19"/>
      <c r="L162" s="17"/>
      <c r="M162" s="18"/>
    </row>
    <row r="163" spans="5:13" ht="18" hidden="1" customHeight="1" x14ac:dyDescent="0.25">
      <c r="E163" s="36"/>
      <c r="F163" s="13"/>
      <c r="G163" s="13"/>
      <c r="H163" s="17"/>
      <c r="I163" s="17"/>
      <c r="J163" s="19"/>
      <c r="K163" s="19"/>
      <c r="L163" s="17"/>
      <c r="M163" s="18"/>
    </row>
    <row r="164" spans="5:13" ht="18" hidden="1" customHeight="1" x14ac:dyDescent="0.25">
      <c r="E164" s="36"/>
      <c r="F164" s="13"/>
      <c r="G164" s="13"/>
      <c r="H164" s="17"/>
      <c r="I164" s="17"/>
      <c r="J164" s="19"/>
      <c r="K164" s="19"/>
      <c r="L164" s="17"/>
      <c r="M164" s="18"/>
    </row>
    <row r="165" spans="5:13" ht="18" hidden="1" customHeight="1" x14ac:dyDescent="0.25">
      <c r="E165" s="36"/>
      <c r="F165" s="13"/>
      <c r="G165" s="13"/>
      <c r="H165" s="17"/>
      <c r="I165" s="17"/>
      <c r="J165" s="19"/>
      <c r="K165" s="19"/>
      <c r="L165" s="17"/>
      <c r="M165" s="18"/>
    </row>
    <row r="166" spans="5:13" ht="18" hidden="1" customHeight="1" x14ac:dyDescent="0.25">
      <c r="E166" s="36"/>
      <c r="F166" s="13"/>
      <c r="G166" s="13"/>
      <c r="H166" s="17"/>
      <c r="I166" s="17"/>
      <c r="J166" s="19"/>
      <c r="K166" s="19"/>
      <c r="L166" s="17"/>
      <c r="M166" s="18"/>
    </row>
    <row r="167" spans="5:13" ht="18" hidden="1" customHeight="1" x14ac:dyDescent="0.25">
      <c r="E167" s="36"/>
      <c r="F167" s="13"/>
      <c r="G167" s="13"/>
      <c r="H167" s="17"/>
      <c r="I167" s="17"/>
      <c r="J167" s="19"/>
      <c r="K167" s="19"/>
      <c r="L167" s="17"/>
      <c r="M167" s="18"/>
    </row>
    <row r="168" spans="5:13" ht="18" hidden="1" customHeight="1" x14ac:dyDescent="0.25">
      <c r="E168" s="36"/>
      <c r="F168" s="13"/>
      <c r="G168" s="13"/>
      <c r="H168" s="17"/>
      <c r="I168" s="17"/>
      <c r="J168" s="19"/>
      <c r="K168" s="19"/>
      <c r="L168" s="17"/>
      <c r="M168" s="18"/>
    </row>
    <row r="169" spans="5:13" ht="18" hidden="1" customHeight="1" x14ac:dyDescent="0.25">
      <c r="E169" s="36"/>
      <c r="F169" s="13"/>
      <c r="G169" s="13"/>
      <c r="H169" s="17"/>
      <c r="I169" s="17"/>
      <c r="J169" s="19"/>
      <c r="K169" s="19"/>
      <c r="L169" s="17"/>
      <c r="M169" s="18"/>
    </row>
    <row r="170" spans="5:13" ht="18" hidden="1" customHeight="1" x14ac:dyDescent="0.25">
      <c r="E170" s="36"/>
      <c r="F170" s="13"/>
      <c r="G170" s="13"/>
      <c r="H170" s="17"/>
      <c r="I170" s="17"/>
      <c r="J170" s="19"/>
      <c r="K170" s="19"/>
      <c r="L170" s="17"/>
      <c r="M170" s="18"/>
    </row>
    <row r="171" spans="5:13" ht="18" hidden="1" customHeight="1" x14ac:dyDescent="0.25">
      <c r="E171" s="36"/>
      <c r="F171" s="13"/>
      <c r="G171" s="13"/>
      <c r="H171" s="17"/>
      <c r="I171" s="17"/>
      <c r="J171" s="19"/>
      <c r="K171" s="19"/>
      <c r="L171" s="17"/>
      <c r="M171" s="18"/>
    </row>
    <row r="172" spans="5:13" ht="18" hidden="1" customHeight="1" x14ac:dyDescent="0.25">
      <c r="E172" s="36"/>
      <c r="F172" s="13"/>
      <c r="G172" s="13"/>
      <c r="H172" s="17"/>
      <c r="I172" s="17"/>
      <c r="J172" s="19"/>
      <c r="K172" s="19"/>
      <c r="L172" s="17"/>
      <c r="M172" s="18"/>
    </row>
    <row r="173" spans="5:13" ht="18" hidden="1" customHeight="1" x14ac:dyDescent="0.25">
      <c r="E173" s="36"/>
      <c r="F173" s="13"/>
      <c r="G173" s="13"/>
      <c r="H173" s="17"/>
      <c r="I173" s="17"/>
      <c r="J173" s="19"/>
      <c r="K173" s="19"/>
      <c r="L173" s="17"/>
      <c r="M173" s="18"/>
    </row>
    <row r="174" spans="5:13" ht="18" hidden="1" customHeight="1" x14ac:dyDescent="0.25">
      <c r="E174" s="36"/>
      <c r="F174" s="13"/>
      <c r="G174" s="13"/>
      <c r="H174" s="17"/>
      <c r="I174" s="17"/>
      <c r="J174" s="19"/>
      <c r="K174" s="19"/>
      <c r="L174" s="17"/>
      <c r="M174" s="18"/>
    </row>
    <row r="175" spans="5:13" ht="18" hidden="1" customHeight="1" x14ac:dyDescent="0.25">
      <c r="E175" s="36"/>
      <c r="F175" s="13"/>
      <c r="G175" s="13"/>
      <c r="H175" s="17"/>
      <c r="I175" s="17"/>
      <c r="J175" s="19"/>
      <c r="K175" s="19"/>
      <c r="L175" s="17"/>
      <c r="M175" s="18"/>
    </row>
    <row r="176" spans="5:13" ht="18" hidden="1" customHeight="1" x14ac:dyDescent="0.25">
      <c r="E176" s="36"/>
      <c r="F176" s="13"/>
      <c r="G176" s="13"/>
      <c r="H176" s="17"/>
      <c r="I176" s="17"/>
      <c r="J176" s="19"/>
      <c r="K176" s="19"/>
      <c r="L176" s="17"/>
      <c r="M176" s="18"/>
    </row>
    <row r="177" spans="5:13" ht="18" hidden="1" customHeight="1" x14ac:dyDescent="0.25">
      <c r="E177" s="36"/>
      <c r="F177" s="13"/>
      <c r="G177" s="13"/>
      <c r="H177" s="17"/>
      <c r="I177" s="17"/>
      <c r="J177" s="19"/>
      <c r="K177" s="19"/>
      <c r="L177" s="17"/>
      <c r="M177" s="18"/>
    </row>
    <row r="178" spans="5:13" ht="18" hidden="1" customHeight="1" x14ac:dyDescent="0.25">
      <c r="E178" s="36"/>
      <c r="F178" s="13"/>
      <c r="G178" s="13"/>
      <c r="H178" s="17"/>
      <c r="I178" s="17"/>
      <c r="J178" s="19"/>
      <c r="K178" s="19"/>
      <c r="L178" s="17"/>
      <c r="M178" s="18"/>
    </row>
    <row r="179" spans="5:13" ht="18" hidden="1" customHeight="1" x14ac:dyDescent="0.25">
      <c r="E179" s="36"/>
      <c r="F179" s="13"/>
      <c r="G179" s="13"/>
      <c r="H179" s="17"/>
      <c r="I179" s="17"/>
      <c r="J179" s="19"/>
      <c r="K179" s="19"/>
      <c r="L179" s="17"/>
      <c r="M179" s="18"/>
    </row>
    <row r="180" spans="5:13" ht="18" hidden="1" customHeight="1" x14ac:dyDescent="0.25">
      <c r="E180" s="36"/>
      <c r="F180" s="13"/>
      <c r="G180" s="13"/>
      <c r="H180" s="17"/>
      <c r="I180" s="17"/>
      <c r="J180" s="19"/>
      <c r="K180" s="19"/>
      <c r="L180" s="17"/>
      <c r="M180" s="18"/>
    </row>
    <row r="181" spans="5:13" ht="18" hidden="1" customHeight="1" x14ac:dyDescent="0.25">
      <c r="E181" s="36"/>
      <c r="F181" s="13"/>
      <c r="G181" s="13"/>
      <c r="H181" s="17"/>
      <c r="I181" s="17"/>
      <c r="J181" s="19"/>
      <c r="K181" s="19"/>
      <c r="L181" s="17"/>
      <c r="M181" s="18"/>
    </row>
    <row r="182" spans="5:13" ht="18" hidden="1" customHeight="1" x14ac:dyDescent="0.25">
      <c r="E182" s="36"/>
      <c r="F182" s="13"/>
      <c r="G182" s="13"/>
      <c r="H182" s="17"/>
      <c r="I182" s="17"/>
      <c r="J182" s="19"/>
      <c r="K182" s="19"/>
      <c r="L182" s="17"/>
      <c r="M182" s="18"/>
    </row>
    <row r="183" spans="5:13" ht="18" hidden="1" customHeight="1" x14ac:dyDescent="0.25">
      <c r="E183" s="36"/>
      <c r="F183" s="13"/>
      <c r="G183" s="13"/>
      <c r="H183" s="17"/>
      <c r="I183" s="17"/>
      <c r="J183" s="19"/>
      <c r="K183" s="19"/>
      <c r="L183" s="17"/>
      <c r="M183" s="18"/>
    </row>
    <row r="184" spans="5:13" ht="18" hidden="1" customHeight="1" x14ac:dyDescent="0.25">
      <c r="E184" s="36"/>
      <c r="F184" s="13"/>
      <c r="G184" s="13"/>
      <c r="H184" s="17"/>
      <c r="I184" s="17"/>
      <c r="J184" s="19"/>
      <c r="K184" s="19"/>
      <c r="L184" s="17"/>
      <c r="M184" s="18"/>
    </row>
    <row r="185" spans="5:13" ht="18" hidden="1" customHeight="1" x14ac:dyDescent="0.25">
      <c r="E185" s="36"/>
      <c r="F185" s="13"/>
      <c r="G185" s="13"/>
      <c r="H185" s="17"/>
      <c r="I185" s="17"/>
      <c r="J185" s="19"/>
      <c r="K185" s="19"/>
      <c r="L185" s="17"/>
      <c r="M185" s="18"/>
    </row>
    <row r="186" spans="5:13" ht="18" hidden="1" customHeight="1" x14ac:dyDescent="0.25">
      <c r="E186" s="36"/>
      <c r="F186" s="13"/>
      <c r="G186" s="13"/>
      <c r="H186" s="17"/>
      <c r="I186" s="17"/>
      <c r="J186" s="19"/>
      <c r="K186" s="19"/>
      <c r="L186" s="17"/>
      <c r="M186" s="18"/>
    </row>
    <row r="187" spans="5:13" ht="18" hidden="1" customHeight="1" x14ac:dyDescent="0.25">
      <c r="E187" s="36"/>
      <c r="F187" s="13"/>
      <c r="G187" s="13"/>
      <c r="H187" s="17"/>
      <c r="I187" s="17"/>
      <c r="J187" s="19"/>
      <c r="K187" s="19"/>
      <c r="L187" s="17"/>
      <c r="M187" s="18"/>
    </row>
    <row r="188" spans="5:13" ht="18" hidden="1" customHeight="1" x14ac:dyDescent="0.25">
      <c r="E188" s="36"/>
      <c r="F188" s="13"/>
      <c r="G188" s="13"/>
      <c r="H188" s="17"/>
      <c r="I188" s="17"/>
      <c r="J188" s="19"/>
      <c r="K188" s="19"/>
      <c r="L188" s="17"/>
      <c r="M188" s="18"/>
    </row>
    <row r="189" spans="5:13" ht="18" hidden="1" customHeight="1" x14ac:dyDescent="0.25">
      <c r="E189" s="36"/>
      <c r="F189" s="13"/>
      <c r="G189" s="13"/>
      <c r="H189" s="17"/>
      <c r="I189" s="17"/>
      <c r="J189" s="19"/>
      <c r="K189" s="19"/>
      <c r="L189" s="17"/>
      <c r="M189" s="18"/>
    </row>
    <row r="190" spans="5:13" ht="18" hidden="1" customHeight="1" x14ac:dyDescent="0.25">
      <c r="E190" s="36"/>
      <c r="F190" s="13"/>
      <c r="G190" s="13"/>
      <c r="H190" s="17"/>
      <c r="I190" s="17"/>
      <c r="J190" s="19"/>
      <c r="K190" s="19"/>
      <c r="L190" s="17"/>
      <c r="M190" s="18"/>
    </row>
    <row r="191" spans="5:13" ht="18" hidden="1" customHeight="1" x14ac:dyDescent="0.25">
      <c r="E191" s="36"/>
      <c r="F191" s="13"/>
      <c r="G191" s="13"/>
      <c r="H191" s="17"/>
      <c r="I191" s="17"/>
      <c r="J191" s="19"/>
      <c r="K191" s="19"/>
      <c r="L191" s="17"/>
      <c r="M191" s="18"/>
    </row>
    <row r="192" spans="5:13" ht="18" hidden="1" customHeight="1" x14ac:dyDescent="0.25">
      <c r="E192" s="36"/>
      <c r="F192" s="13"/>
      <c r="G192" s="13"/>
      <c r="H192" s="17"/>
      <c r="I192" s="17"/>
      <c r="J192" s="19"/>
      <c r="K192" s="19"/>
      <c r="L192" s="17"/>
      <c r="M192" s="18"/>
    </row>
    <row r="193" spans="5:13" ht="18" hidden="1" customHeight="1" x14ac:dyDescent="0.25">
      <c r="E193" s="36"/>
      <c r="F193" s="13"/>
      <c r="G193" s="13"/>
      <c r="H193" s="17"/>
      <c r="I193" s="17"/>
      <c r="J193" s="19"/>
      <c r="K193" s="19"/>
      <c r="L193" s="17"/>
      <c r="M193" s="18"/>
    </row>
    <row r="194" spans="5:13" ht="18" hidden="1" customHeight="1" x14ac:dyDescent="0.25">
      <c r="E194" s="36"/>
      <c r="F194" s="13"/>
      <c r="G194" s="13"/>
      <c r="H194" s="17"/>
      <c r="I194" s="17"/>
      <c r="J194" s="19"/>
      <c r="K194" s="19"/>
      <c r="L194" s="17"/>
      <c r="M194" s="18"/>
    </row>
    <row r="195" spans="5:13" ht="18" hidden="1" customHeight="1" x14ac:dyDescent="0.25">
      <c r="E195" s="36"/>
      <c r="F195" s="13"/>
      <c r="G195" s="13"/>
      <c r="H195" s="17"/>
      <c r="I195" s="17"/>
      <c r="J195" s="19"/>
      <c r="K195" s="19"/>
      <c r="L195" s="17"/>
      <c r="M195" s="18"/>
    </row>
    <row r="196" spans="5:13" ht="18" hidden="1" customHeight="1" x14ac:dyDescent="0.25">
      <c r="E196" s="36"/>
      <c r="F196" s="13"/>
      <c r="G196" s="13"/>
      <c r="H196" s="17"/>
      <c r="I196" s="17"/>
      <c r="J196" s="19"/>
      <c r="K196" s="19"/>
      <c r="L196" s="17"/>
      <c r="M196" s="18"/>
    </row>
    <row r="197" spans="5:13" ht="18" hidden="1" customHeight="1" x14ac:dyDescent="0.25">
      <c r="E197" s="36"/>
      <c r="F197" s="13"/>
      <c r="G197" s="13"/>
      <c r="H197" s="17"/>
      <c r="I197" s="17"/>
      <c r="J197" s="19"/>
      <c r="K197" s="19"/>
      <c r="L197" s="17"/>
      <c r="M197" s="18"/>
    </row>
    <row r="198" spans="5:13" ht="18" hidden="1" customHeight="1" x14ac:dyDescent="0.25">
      <c r="E198" s="36"/>
      <c r="F198" s="13"/>
      <c r="G198" s="13"/>
      <c r="H198" s="17"/>
      <c r="I198" s="17"/>
      <c r="J198" s="19"/>
      <c r="K198" s="19"/>
      <c r="L198" s="17"/>
      <c r="M198" s="18"/>
    </row>
    <row r="199" spans="5:13" ht="18" hidden="1" customHeight="1" x14ac:dyDescent="0.25">
      <c r="E199" s="36"/>
      <c r="F199" s="13"/>
      <c r="G199" s="13"/>
      <c r="H199" s="17"/>
      <c r="I199" s="17"/>
      <c r="J199" s="19"/>
      <c r="K199" s="19"/>
      <c r="L199" s="17"/>
      <c r="M199" s="18"/>
    </row>
    <row r="200" spans="5:13" ht="18" hidden="1" customHeight="1" x14ac:dyDescent="0.25">
      <c r="E200" s="36"/>
      <c r="F200" s="13"/>
      <c r="G200" s="13"/>
      <c r="H200" s="17"/>
      <c r="I200" s="17"/>
      <c r="J200" s="19"/>
      <c r="K200" s="19"/>
      <c r="L200" s="17"/>
      <c r="M200" s="18"/>
    </row>
    <row r="201" spans="5:13" ht="18" hidden="1" customHeight="1" x14ac:dyDescent="0.25">
      <c r="E201" s="36"/>
      <c r="F201" s="13"/>
      <c r="G201" s="13"/>
      <c r="H201" s="17"/>
      <c r="I201" s="17"/>
      <c r="J201" s="19"/>
      <c r="K201" s="19"/>
      <c r="L201" s="17"/>
      <c r="M201" s="18"/>
    </row>
    <row r="202" spans="5:13" ht="18" hidden="1" customHeight="1" x14ac:dyDescent="0.25">
      <c r="E202" s="36"/>
      <c r="F202" s="13"/>
      <c r="G202" s="13"/>
      <c r="H202" s="17"/>
      <c r="I202" s="17"/>
      <c r="J202" s="19"/>
      <c r="K202" s="19"/>
      <c r="L202" s="17"/>
      <c r="M202" s="18"/>
    </row>
    <row r="203" spans="5:13" ht="18" hidden="1" customHeight="1" x14ac:dyDescent="0.25">
      <c r="E203" s="36"/>
      <c r="F203" s="13"/>
      <c r="G203" s="13"/>
      <c r="H203" s="17"/>
      <c r="I203" s="17"/>
      <c r="J203" s="19"/>
      <c r="K203" s="19"/>
      <c r="L203" s="17"/>
      <c r="M203" s="18"/>
    </row>
    <row r="204" spans="5:13" ht="18" hidden="1" customHeight="1" x14ac:dyDescent="0.25">
      <c r="E204" s="36"/>
      <c r="F204" s="13"/>
      <c r="G204" s="13"/>
      <c r="H204" s="17"/>
      <c r="I204" s="17"/>
      <c r="J204" s="19"/>
      <c r="K204" s="19"/>
      <c r="L204" s="17"/>
      <c r="M204" s="18"/>
    </row>
    <row r="205" spans="5:13" ht="18" hidden="1" customHeight="1" x14ac:dyDescent="0.25">
      <c r="E205" s="36"/>
      <c r="F205" s="13"/>
      <c r="G205" s="13"/>
      <c r="H205" s="17"/>
      <c r="I205" s="17"/>
      <c r="J205" s="19"/>
      <c r="K205" s="19"/>
      <c r="L205" s="17"/>
      <c r="M205" s="18"/>
    </row>
    <row r="206" spans="5:13" ht="18" hidden="1" customHeight="1" x14ac:dyDescent="0.25">
      <c r="E206" s="36"/>
      <c r="F206" s="13"/>
      <c r="G206" s="13"/>
      <c r="H206" s="17"/>
      <c r="I206" s="17"/>
      <c r="J206" s="19"/>
      <c r="K206" s="19"/>
      <c r="L206" s="17"/>
      <c r="M206" s="18"/>
    </row>
    <row r="207" spans="5:13" ht="18" hidden="1" customHeight="1" x14ac:dyDescent="0.25">
      <c r="E207" s="36"/>
      <c r="F207" s="13"/>
      <c r="G207" s="13"/>
      <c r="H207" s="17"/>
      <c r="I207" s="17"/>
      <c r="J207" s="19"/>
      <c r="K207" s="19"/>
      <c r="L207" s="17"/>
      <c r="M207" s="18"/>
    </row>
    <row r="208" spans="5:13" ht="18" hidden="1" customHeight="1" x14ac:dyDescent="0.25">
      <c r="E208" s="36"/>
      <c r="F208" s="13"/>
      <c r="G208" s="13"/>
      <c r="H208" s="17"/>
      <c r="I208" s="17"/>
      <c r="J208" s="19"/>
      <c r="K208" s="19"/>
      <c r="L208" s="17"/>
      <c r="M208" s="18"/>
    </row>
    <row r="209" spans="5:13" ht="18" hidden="1" customHeight="1" x14ac:dyDescent="0.25">
      <c r="E209" s="36"/>
      <c r="F209" s="13"/>
      <c r="G209" s="13"/>
      <c r="H209" s="17"/>
      <c r="I209" s="17"/>
      <c r="J209" s="19"/>
      <c r="K209" s="19"/>
      <c r="L209" s="17"/>
      <c r="M209" s="18"/>
    </row>
    <row r="210" spans="5:13" ht="18" hidden="1" customHeight="1" x14ac:dyDescent="0.25">
      <c r="E210" s="36"/>
      <c r="F210" s="13"/>
      <c r="G210" s="13"/>
      <c r="H210" s="17"/>
      <c r="I210" s="17"/>
      <c r="J210" s="19"/>
      <c r="K210" s="19"/>
      <c r="L210" s="17"/>
      <c r="M210" s="18"/>
    </row>
    <row r="211" spans="5:13" ht="18" hidden="1" customHeight="1" x14ac:dyDescent="0.25">
      <c r="E211" s="36"/>
      <c r="F211" s="13"/>
      <c r="G211" s="13"/>
      <c r="H211" s="17"/>
      <c r="I211" s="17"/>
      <c r="J211" s="19"/>
      <c r="K211" s="19"/>
      <c r="L211" s="17"/>
      <c r="M211" s="18"/>
    </row>
    <row r="212" spans="5:13" ht="18" hidden="1" customHeight="1" x14ac:dyDescent="0.25">
      <c r="E212" s="36"/>
      <c r="F212" s="13"/>
      <c r="G212" s="13"/>
      <c r="H212" s="17"/>
      <c r="I212" s="17"/>
      <c r="J212" s="19"/>
      <c r="K212" s="19"/>
      <c r="L212" s="17"/>
      <c r="M212" s="18"/>
    </row>
    <row r="213" spans="5:13" ht="18" hidden="1" customHeight="1" x14ac:dyDescent="0.25">
      <c r="E213" s="36"/>
      <c r="F213" s="13"/>
      <c r="G213" s="13"/>
      <c r="H213" s="17"/>
      <c r="I213" s="17"/>
      <c r="J213" s="19"/>
      <c r="K213" s="19"/>
      <c r="L213" s="17"/>
      <c r="M213" s="18"/>
    </row>
    <row r="214" spans="5:13" ht="18" hidden="1" customHeight="1" x14ac:dyDescent="0.25">
      <c r="E214" s="36"/>
      <c r="F214" s="13"/>
      <c r="G214" s="13"/>
      <c r="H214" s="17"/>
      <c r="I214" s="17"/>
      <c r="J214" s="19"/>
      <c r="K214" s="19"/>
      <c r="L214" s="17"/>
      <c r="M214" s="18"/>
    </row>
    <row r="215" spans="5:13" ht="18" hidden="1" customHeight="1" x14ac:dyDescent="0.25">
      <c r="E215" s="36"/>
      <c r="F215" s="13"/>
      <c r="G215" s="13"/>
      <c r="H215" s="17"/>
      <c r="I215" s="17"/>
      <c r="J215" s="19"/>
      <c r="K215" s="19"/>
      <c r="L215" s="17"/>
      <c r="M215" s="18"/>
    </row>
    <row r="216" spans="5:13" ht="18" hidden="1" customHeight="1" x14ac:dyDescent="0.25">
      <c r="E216" s="36"/>
      <c r="F216" s="13"/>
      <c r="G216" s="13"/>
      <c r="H216" s="17"/>
      <c r="I216" s="17"/>
      <c r="J216" s="19"/>
      <c r="K216" s="19"/>
      <c r="L216" s="17"/>
      <c r="M216" s="18"/>
    </row>
    <row r="217" spans="5:13" ht="18" hidden="1" customHeight="1" x14ac:dyDescent="0.25">
      <c r="E217" s="36"/>
      <c r="F217" s="13"/>
      <c r="G217" s="13"/>
      <c r="H217" s="17"/>
      <c r="I217" s="17"/>
      <c r="J217" s="19"/>
      <c r="K217" s="19"/>
      <c r="L217" s="17"/>
      <c r="M217" s="18"/>
    </row>
    <row r="218" spans="5:13" ht="18" hidden="1" customHeight="1" x14ac:dyDescent="0.25">
      <c r="E218" s="36"/>
      <c r="F218" s="13"/>
      <c r="G218" s="13"/>
      <c r="H218" s="17"/>
      <c r="I218" s="17"/>
      <c r="J218" s="19"/>
      <c r="K218" s="19"/>
      <c r="L218" s="17"/>
      <c r="M218" s="18"/>
    </row>
    <row r="219" spans="5:13" ht="18" hidden="1" customHeight="1" x14ac:dyDescent="0.25">
      <c r="E219" s="36"/>
      <c r="F219" s="13"/>
      <c r="G219" s="13"/>
      <c r="H219" s="17"/>
      <c r="I219" s="17"/>
      <c r="J219" s="19"/>
      <c r="K219" s="19"/>
      <c r="L219" s="17"/>
      <c r="M219" s="18"/>
    </row>
    <row r="220" spans="5:13" ht="18" hidden="1" customHeight="1" x14ac:dyDescent="0.25">
      <c r="E220" s="36"/>
      <c r="F220" s="13"/>
      <c r="G220" s="13"/>
      <c r="H220" s="17"/>
      <c r="I220" s="17"/>
      <c r="J220" s="19"/>
      <c r="K220" s="19"/>
      <c r="L220" s="17"/>
      <c r="M220" s="18"/>
    </row>
    <row r="221" spans="5:13" ht="18" hidden="1" customHeight="1" x14ac:dyDescent="0.25">
      <c r="E221" s="36"/>
      <c r="F221" s="13"/>
      <c r="G221" s="13"/>
      <c r="H221" s="17"/>
      <c r="I221" s="17"/>
      <c r="J221" s="19"/>
      <c r="K221" s="19"/>
      <c r="L221" s="17"/>
      <c r="M221" s="18"/>
    </row>
    <row r="222" spans="5:13" ht="18" hidden="1" customHeight="1" x14ac:dyDescent="0.25">
      <c r="E222" s="36"/>
      <c r="F222" s="13"/>
      <c r="G222" s="13"/>
      <c r="H222" s="17"/>
      <c r="I222" s="17"/>
      <c r="J222" s="19"/>
      <c r="K222" s="19"/>
      <c r="L222" s="17"/>
      <c r="M222" s="18"/>
    </row>
    <row r="223" spans="5:13" ht="18" hidden="1" customHeight="1" x14ac:dyDescent="0.25">
      <c r="E223" s="36"/>
      <c r="F223" s="13"/>
      <c r="G223" s="13"/>
      <c r="H223" s="17"/>
      <c r="I223" s="17"/>
      <c r="J223" s="19"/>
      <c r="K223" s="19"/>
      <c r="L223" s="17"/>
      <c r="M223" s="18"/>
    </row>
    <row r="224" spans="5:13" ht="18" hidden="1" customHeight="1" x14ac:dyDescent="0.25">
      <c r="E224" s="36"/>
      <c r="F224" s="13"/>
      <c r="G224" s="13"/>
      <c r="H224" s="17"/>
      <c r="I224" s="17"/>
      <c r="J224" s="19"/>
      <c r="K224" s="19"/>
      <c r="L224" s="17"/>
      <c r="M224" s="18"/>
    </row>
    <row r="225" spans="5:13" ht="18" hidden="1" customHeight="1" x14ac:dyDescent="0.25">
      <c r="E225" s="36"/>
      <c r="F225" s="13"/>
      <c r="G225" s="13"/>
      <c r="H225" s="17"/>
      <c r="I225" s="17"/>
      <c r="J225" s="19"/>
      <c r="K225" s="19"/>
      <c r="L225" s="17"/>
      <c r="M225" s="18"/>
    </row>
    <row r="226" spans="5:13" ht="18" hidden="1" customHeight="1" x14ac:dyDescent="0.25">
      <c r="E226" s="36"/>
      <c r="F226" s="13"/>
      <c r="G226" s="13"/>
      <c r="H226" s="17"/>
      <c r="I226" s="17"/>
      <c r="J226" s="19"/>
      <c r="K226" s="19"/>
      <c r="L226" s="17"/>
      <c r="M226" s="18"/>
    </row>
    <row r="227" spans="5:13" ht="18" hidden="1" customHeight="1" x14ac:dyDescent="0.25">
      <c r="E227" s="36"/>
      <c r="F227" s="13"/>
      <c r="G227" s="13"/>
      <c r="H227" s="17"/>
      <c r="I227" s="17"/>
      <c r="J227" s="19"/>
      <c r="K227" s="19"/>
      <c r="L227" s="17"/>
      <c r="M227" s="18"/>
    </row>
    <row r="228" spans="5:13" ht="18" hidden="1" customHeight="1" x14ac:dyDescent="0.25">
      <c r="E228" s="36"/>
      <c r="F228" s="13"/>
      <c r="G228" s="13"/>
      <c r="H228" s="17"/>
      <c r="I228" s="17"/>
      <c r="J228" s="19"/>
      <c r="K228" s="19"/>
      <c r="L228" s="17"/>
      <c r="M228" s="18"/>
    </row>
    <row r="229" spans="5:13" ht="18" hidden="1" customHeight="1" x14ac:dyDescent="0.25">
      <c r="E229" s="36"/>
      <c r="F229" s="13"/>
      <c r="G229" s="13"/>
      <c r="H229" s="17"/>
      <c r="I229" s="17"/>
      <c r="J229" s="19"/>
      <c r="K229" s="19"/>
      <c r="L229" s="17"/>
      <c r="M229" s="18"/>
    </row>
    <row r="230" spans="5:13" ht="18" hidden="1" customHeight="1" x14ac:dyDescent="0.25">
      <c r="E230" s="36"/>
      <c r="F230" s="13"/>
      <c r="G230" s="13"/>
      <c r="H230" s="17"/>
      <c r="I230" s="17"/>
      <c r="J230" s="19"/>
      <c r="K230" s="19"/>
      <c r="L230" s="17"/>
      <c r="M230" s="18"/>
    </row>
    <row r="231" spans="5:13" ht="18" hidden="1" customHeight="1" x14ac:dyDescent="0.25">
      <c r="E231" s="36"/>
      <c r="F231" s="13"/>
      <c r="G231" s="13"/>
      <c r="H231" s="17"/>
      <c r="I231" s="17"/>
      <c r="J231" s="19"/>
      <c r="K231" s="19"/>
      <c r="L231" s="17"/>
      <c r="M231" s="18"/>
    </row>
    <row r="232" spans="5:13" ht="18" hidden="1" customHeight="1" x14ac:dyDescent="0.25">
      <c r="E232" s="36"/>
      <c r="F232" s="13"/>
      <c r="G232" s="13"/>
      <c r="H232" s="17"/>
      <c r="I232" s="17"/>
      <c r="J232" s="19"/>
      <c r="K232" s="19"/>
      <c r="L232" s="17"/>
      <c r="M232" s="18"/>
    </row>
    <row r="233" spans="5:13" ht="18" hidden="1" customHeight="1" x14ac:dyDescent="0.25">
      <c r="E233" s="36"/>
      <c r="F233" s="13"/>
      <c r="G233" s="13"/>
      <c r="H233" s="17"/>
      <c r="I233" s="17"/>
      <c r="J233" s="19"/>
      <c r="K233" s="19"/>
      <c r="L233" s="17"/>
      <c r="M233" s="18"/>
    </row>
    <row r="234" spans="5:13" ht="18" hidden="1" customHeight="1" x14ac:dyDescent="0.25">
      <c r="E234" s="36"/>
      <c r="F234" s="13"/>
      <c r="G234" s="13"/>
      <c r="H234" s="17"/>
      <c r="I234" s="17"/>
      <c r="J234" s="19"/>
      <c r="K234" s="19"/>
      <c r="L234" s="17"/>
      <c r="M234" s="18"/>
    </row>
    <row r="235" spans="5:13" ht="18" hidden="1" customHeight="1" x14ac:dyDescent="0.25">
      <c r="E235" s="36"/>
      <c r="F235" s="13"/>
      <c r="G235" s="13"/>
      <c r="H235" s="17"/>
      <c r="I235" s="17"/>
      <c r="J235" s="19"/>
      <c r="K235" s="19"/>
      <c r="L235" s="17"/>
      <c r="M235" s="18"/>
    </row>
    <row r="236" spans="5:13" ht="18" hidden="1" customHeight="1" x14ac:dyDescent="0.25">
      <c r="E236" s="36"/>
      <c r="F236" s="13"/>
      <c r="G236" s="13"/>
      <c r="H236" s="17"/>
      <c r="I236" s="17"/>
      <c r="J236" s="19"/>
      <c r="K236" s="19"/>
      <c r="L236" s="17"/>
      <c r="M236" s="18"/>
    </row>
    <row r="237" spans="5:13" ht="18" hidden="1" customHeight="1" x14ac:dyDescent="0.25">
      <c r="E237" s="36"/>
      <c r="F237" s="13"/>
      <c r="G237" s="13"/>
      <c r="H237" s="17"/>
      <c r="I237" s="17"/>
      <c r="J237" s="19"/>
      <c r="K237" s="19"/>
      <c r="L237" s="17"/>
      <c r="M237" s="18"/>
    </row>
    <row r="238" spans="5:13" ht="18" hidden="1" customHeight="1" x14ac:dyDescent="0.25">
      <c r="E238" s="36"/>
      <c r="F238" s="13"/>
      <c r="G238" s="13"/>
      <c r="H238" s="17"/>
      <c r="I238" s="17"/>
      <c r="J238" s="19"/>
      <c r="K238" s="19"/>
      <c r="L238" s="17"/>
      <c r="M238" s="18"/>
    </row>
    <row r="239" spans="5:13" ht="18" hidden="1" customHeight="1" x14ac:dyDescent="0.25">
      <c r="E239" s="36"/>
      <c r="F239" s="13"/>
      <c r="G239" s="13"/>
      <c r="H239" s="17"/>
      <c r="I239" s="17"/>
      <c r="J239" s="19"/>
      <c r="K239" s="19"/>
      <c r="L239" s="17"/>
      <c r="M239" s="18"/>
    </row>
    <row r="240" spans="5:13" ht="18" hidden="1" customHeight="1" x14ac:dyDescent="0.25">
      <c r="E240" s="36"/>
      <c r="F240" s="13"/>
      <c r="G240" s="13"/>
      <c r="H240" s="17"/>
      <c r="I240" s="17"/>
      <c r="J240" s="19"/>
      <c r="K240" s="19"/>
      <c r="L240" s="17"/>
      <c r="M240" s="18"/>
    </row>
    <row r="241" spans="5:13" ht="18" hidden="1" customHeight="1" x14ac:dyDescent="0.25">
      <c r="E241" s="36"/>
      <c r="F241" s="13"/>
      <c r="G241" s="13"/>
      <c r="H241" s="17"/>
      <c r="I241" s="17"/>
      <c r="J241" s="19"/>
      <c r="K241" s="19"/>
      <c r="L241" s="17"/>
      <c r="M241" s="18"/>
    </row>
    <row r="242" spans="5:13" ht="18" hidden="1" customHeight="1" x14ac:dyDescent="0.25">
      <c r="E242" s="36"/>
      <c r="F242" s="13"/>
      <c r="G242" s="13"/>
      <c r="H242" s="17"/>
      <c r="I242" s="17"/>
      <c r="J242" s="19"/>
      <c r="K242" s="19"/>
      <c r="L242" s="17"/>
      <c r="M242" s="18"/>
    </row>
    <row r="243" spans="5:13" ht="18" hidden="1" customHeight="1" x14ac:dyDescent="0.25">
      <c r="E243" s="36"/>
      <c r="F243" s="13"/>
      <c r="G243" s="13"/>
      <c r="H243" s="17"/>
      <c r="I243" s="17"/>
      <c r="J243" s="19"/>
      <c r="K243" s="19"/>
      <c r="L243" s="17"/>
      <c r="M243" s="18"/>
    </row>
    <row r="244" spans="5:13" ht="18" hidden="1" customHeight="1" x14ac:dyDescent="0.25">
      <c r="E244" s="36"/>
      <c r="F244" s="13"/>
      <c r="G244" s="13"/>
      <c r="H244" s="17"/>
      <c r="I244" s="17"/>
      <c r="J244" s="19"/>
      <c r="K244" s="19"/>
      <c r="L244" s="17"/>
      <c r="M244" s="18"/>
    </row>
    <row r="245" spans="5:13" ht="18" hidden="1" customHeight="1" x14ac:dyDescent="0.25">
      <c r="E245" s="36"/>
      <c r="F245" s="13"/>
      <c r="G245" s="13"/>
      <c r="H245" s="17"/>
      <c r="I245" s="17"/>
      <c r="J245" s="19"/>
      <c r="K245" s="19"/>
      <c r="L245" s="17"/>
      <c r="M245" s="18"/>
    </row>
    <row r="246" spans="5:13" ht="18" hidden="1" customHeight="1" x14ac:dyDescent="0.25">
      <c r="E246" s="36"/>
      <c r="F246" s="13"/>
      <c r="G246" s="13"/>
      <c r="H246" s="17"/>
      <c r="I246" s="17"/>
      <c r="J246" s="19"/>
      <c r="K246" s="19"/>
      <c r="L246" s="17"/>
      <c r="M246" s="18"/>
    </row>
    <row r="247" spans="5:13" ht="18" hidden="1" customHeight="1" x14ac:dyDescent="0.25">
      <c r="E247" s="36"/>
      <c r="F247" s="13"/>
      <c r="G247" s="13"/>
      <c r="H247" s="17"/>
      <c r="I247" s="17"/>
      <c r="J247" s="19"/>
      <c r="K247" s="19"/>
      <c r="L247" s="17"/>
      <c r="M247" s="18"/>
    </row>
    <row r="248" spans="5:13" ht="18" hidden="1" customHeight="1" x14ac:dyDescent="0.25">
      <c r="E248" s="36"/>
      <c r="F248" s="13"/>
      <c r="G248" s="13"/>
      <c r="H248" s="17"/>
      <c r="I248" s="17"/>
      <c r="J248" s="19"/>
      <c r="K248" s="19"/>
      <c r="L248" s="17"/>
      <c r="M248" s="18"/>
    </row>
    <row r="249" spans="5:13" ht="18" hidden="1" customHeight="1" x14ac:dyDescent="0.25">
      <c r="E249" s="36"/>
      <c r="F249" s="13"/>
      <c r="G249" s="13"/>
      <c r="H249" s="17"/>
      <c r="I249" s="17"/>
      <c r="J249" s="19"/>
      <c r="K249" s="19"/>
      <c r="L249" s="17"/>
      <c r="M249" s="18"/>
    </row>
    <row r="250" spans="5:13" ht="18" hidden="1" customHeight="1" x14ac:dyDescent="0.25">
      <c r="E250" s="36"/>
      <c r="F250" s="13"/>
      <c r="G250" s="13"/>
      <c r="H250" s="17"/>
      <c r="I250" s="17"/>
      <c r="J250" s="19"/>
      <c r="K250" s="19"/>
      <c r="L250" s="17"/>
      <c r="M250" s="18"/>
    </row>
    <row r="251" spans="5:13" ht="18" hidden="1" customHeight="1" x14ac:dyDescent="0.25">
      <c r="E251" s="36"/>
      <c r="F251" s="13"/>
      <c r="G251" s="13"/>
      <c r="H251" s="17"/>
      <c r="I251" s="17"/>
      <c r="J251" s="19"/>
      <c r="K251" s="19"/>
      <c r="L251" s="17"/>
      <c r="M251" s="18"/>
    </row>
    <row r="252" spans="5:13" ht="18" hidden="1" customHeight="1" x14ac:dyDescent="0.25">
      <c r="E252" s="36"/>
      <c r="F252" s="13"/>
      <c r="G252" s="13"/>
      <c r="H252" s="17"/>
      <c r="I252" s="17"/>
      <c r="J252" s="19"/>
      <c r="K252" s="19"/>
      <c r="L252" s="17"/>
      <c r="M252" s="18"/>
    </row>
    <row r="253" spans="5:13" ht="18" hidden="1" customHeight="1" x14ac:dyDescent="0.25">
      <c r="E253" s="36"/>
      <c r="F253" s="13"/>
      <c r="G253" s="13"/>
      <c r="H253" s="17"/>
      <c r="I253" s="17"/>
      <c r="J253" s="19"/>
      <c r="K253" s="19"/>
      <c r="L253" s="17"/>
      <c r="M253" s="18"/>
    </row>
    <row r="254" spans="5:13" ht="18" hidden="1" customHeight="1" x14ac:dyDescent="0.25">
      <c r="E254" s="36"/>
      <c r="F254" s="13"/>
      <c r="G254" s="13"/>
      <c r="H254" s="17"/>
      <c r="I254" s="17"/>
      <c r="J254" s="19"/>
      <c r="K254" s="19"/>
      <c r="L254" s="17"/>
      <c r="M254" s="18"/>
    </row>
    <row r="255" spans="5:13" ht="18" hidden="1" customHeight="1" x14ac:dyDescent="0.25">
      <c r="E255" s="36"/>
      <c r="F255" s="13"/>
      <c r="G255" s="13"/>
      <c r="H255" s="17"/>
      <c r="I255" s="17"/>
      <c r="J255" s="19"/>
      <c r="K255" s="19"/>
      <c r="L255" s="17"/>
      <c r="M255" s="18"/>
    </row>
    <row r="256" spans="5:13" ht="18" hidden="1" customHeight="1" x14ac:dyDescent="0.25">
      <c r="E256" s="36"/>
      <c r="F256" s="13"/>
      <c r="G256" s="13"/>
      <c r="H256" s="17"/>
      <c r="I256" s="17"/>
      <c r="J256" s="19"/>
      <c r="K256" s="19"/>
      <c r="L256" s="17"/>
      <c r="M256" s="18"/>
    </row>
    <row r="257" spans="5:13" ht="18" hidden="1" customHeight="1" x14ac:dyDescent="0.25">
      <c r="E257" s="36"/>
      <c r="F257" s="13"/>
      <c r="G257" s="13"/>
      <c r="H257" s="17"/>
      <c r="I257" s="17"/>
      <c r="J257" s="19"/>
      <c r="K257" s="19"/>
      <c r="L257" s="17"/>
      <c r="M257" s="18"/>
    </row>
    <row r="258" spans="5:13" ht="18" hidden="1" customHeight="1" x14ac:dyDescent="0.25">
      <c r="E258" s="36"/>
      <c r="F258" s="13"/>
      <c r="G258" s="13"/>
      <c r="H258" s="17"/>
      <c r="I258" s="17"/>
      <c r="J258" s="19"/>
      <c r="K258" s="19"/>
      <c r="L258" s="17"/>
      <c r="M258" s="18"/>
    </row>
    <row r="259" spans="5:13" ht="18" hidden="1" customHeight="1" x14ac:dyDescent="0.25">
      <c r="E259" s="36"/>
      <c r="F259" s="13"/>
      <c r="G259" s="13"/>
      <c r="H259" s="17"/>
      <c r="I259" s="17"/>
      <c r="J259" s="19"/>
      <c r="K259" s="19"/>
      <c r="L259" s="17"/>
      <c r="M259" s="18"/>
    </row>
    <row r="260" spans="5:13" ht="18" hidden="1" customHeight="1" x14ac:dyDescent="0.25">
      <c r="E260" s="36"/>
      <c r="F260" s="13"/>
      <c r="G260" s="13"/>
      <c r="H260" s="17"/>
      <c r="I260" s="17"/>
      <c r="J260" s="19"/>
      <c r="K260" s="19"/>
      <c r="L260" s="17"/>
      <c r="M260" s="18"/>
    </row>
    <row r="261" spans="5:13" ht="18" hidden="1" customHeight="1" x14ac:dyDescent="0.25">
      <c r="E261" s="36"/>
      <c r="F261" s="13"/>
      <c r="G261" s="13"/>
      <c r="H261" s="17"/>
      <c r="I261" s="17"/>
      <c r="J261" s="19"/>
      <c r="K261" s="19"/>
      <c r="L261" s="17"/>
      <c r="M261" s="18"/>
    </row>
    <row r="262" spans="5:13" ht="18" hidden="1" customHeight="1" x14ac:dyDescent="0.25">
      <c r="E262" s="36"/>
      <c r="F262" s="13"/>
      <c r="G262" s="13"/>
      <c r="H262" s="17"/>
      <c r="I262" s="17"/>
      <c r="J262" s="19"/>
      <c r="K262" s="19"/>
      <c r="L262" s="17"/>
      <c r="M262" s="18"/>
    </row>
    <row r="263" spans="5:13" ht="18" hidden="1" customHeight="1" x14ac:dyDescent="0.25">
      <c r="E263" s="36"/>
      <c r="F263" s="13"/>
      <c r="G263" s="13"/>
      <c r="H263" s="17"/>
      <c r="I263" s="17"/>
      <c r="J263" s="19"/>
      <c r="K263" s="19"/>
      <c r="L263" s="17"/>
      <c r="M263" s="18"/>
    </row>
    <row r="264" spans="5:13" ht="18" hidden="1" customHeight="1" x14ac:dyDescent="0.25">
      <c r="E264" s="36"/>
      <c r="F264" s="13"/>
      <c r="G264" s="13"/>
      <c r="H264" s="17"/>
      <c r="I264" s="17"/>
      <c r="J264" s="19"/>
      <c r="K264" s="19"/>
      <c r="L264" s="17"/>
      <c r="M264" s="18"/>
    </row>
    <row r="265" spans="5:13" ht="18" hidden="1" customHeight="1" x14ac:dyDescent="0.25">
      <c r="E265" s="36"/>
      <c r="F265" s="13"/>
      <c r="G265" s="13"/>
      <c r="H265" s="17"/>
      <c r="I265" s="17"/>
      <c r="J265" s="19"/>
      <c r="K265" s="19"/>
      <c r="L265" s="17"/>
      <c r="M265" s="18"/>
    </row>
    <row r="266" spans="5:13" ht="18" hidden="1" customHeight="1" x14ac:dyDescent="0.25">
      <c r="E266" s="36"/>
      <c r="F266" s="13"/>
      <c r="G266" s="13"/>
      <c r="H266" s="17"/>
      <c r="I266" s="17"/>
      <c r="J266" s="19"/>
      <c r="K266" s="19"/>
      <c r="L266" s="17"/>
      <c r="M266" s="18"/>
    </row>
    <row r="267" spans="5:13" ht="18" hidden="1" customHeight="1" x14ac:dyDescent="0.25">
      <c r="E267" s="36"/>
      <c r="F267" s="13"/>
      <c r="G267" s="13"/>
      <c r="H267" s="17"/>
      <c r="I267" s="17"/>
      <c r="J267" s="19"/>
      <c r="K267" s="19"/>
      <c r="L267" s="17"/>
      <c r="M267" s="18"/>
    </row>
    <row r="268" spans="5:13" ht="18" hidden="1" customHeight="1" x14ac:dyDescent="0.25">
      <c r="E268" s="36"/>
      <c r="F268" s="13"/>
      <c r="G268" s="13"/>
      <c r="H268" s="17"/>
      <c r="I268" s="17"/>
      <c r="J268" s="19"/>
      <c r="K268" s="19"/>
      <c r="L268" s="17"/>
      <c r="M268" s="18"/>
    </row>
    <row r="269" spans="5:13" ht="18" hidden="1" customHeight="1" x14ac:dyDescent="0.25">
      <c r="E269" s="36"/>
      <c r="F269" s="13"/>
      <c r="G269" s="13"/>
      <c r="H269" s="17"/>
      <c r="I269" s="17"/>
      <c r="J269" s="19"/>
      <c r="K269" s="19"/>
      <c r="L269" s="17"/>
      <c r="M269" s="18"/>
    </row>
    <row r="270" spans="5:13" ht="18" hidden="1" customHeight="1" x14ac:dyDescent="0.25">
      <c r="E270" s="36"/>
      <c r="F270" s="13"/>
      <c r="G270" s="13"/>
      <c r="H270" s="17"/>
      <c r="I270" s="17"/>
      <c r="J270" s="19"/>
      <c r="K270" s="19"/>
      <c r="L270" s="17"/>
      <c r="M270" s="18"/>
    </row>
    <row r="271" spans="5:13" ht="18" hidden="1" customHeight="1" x14ac:dyDescent="0.25">
      <c r="E271" s="36"/>
      <c r="F271" s="13"/>
      <c r="G271" s="13"/>
      <c r="H271" s="17"/>
      <c r="I271" s="17"/>
      <c r="J271" s="19"/>
      <c r="K271" s="19"/>
      <c r="L271" s="17"/>
      <c r="M271" s="18"/>
    </row>
    <row r="272" spans="5:13" ht="18" hidden="1" customHeight="1" x14ac:dyDescent="0.25">
      <c r="E272" s="36"/>
      <c r="F272" s="13"/>
      <c r="G272" s="13"/>
      <c r="H272" s="17"/>
      <c r="I272" s="17"/>
      <c r="J272" s="19"/>
      <c r="K272" s="19"/>
      <c r="L272" s="17"/>
      <c r="M272" s="18"/>
    </row>
    <row r="273" spans="5:13" ht="18" hidden="1" customHeight="1" x14ac:dyDescent="0.25">
      <c r="E273" s="36"/>
      <c r="F273" s="13"/>
      <c r="G273" s="13"/>
      <c r="H273" s="17"/>
      <c r="I273" s="17"/>
      <c r="J273" s="19"/>
      <c r="K273" s="19"/>
      <c r="L273" s="17"/>
      <c r="M273" s="18"/>
    </row>
    <row r="274" spans="5:13" ht="18" hidden="1" customHeight="1" x14ac:dyDescent="0.25">
      <c r="E274" s="36"/>
      <c r="F274" s="13"/>
      <c r="G274" s="13"/>
      <c r="H274" s="17"/>
      <c r="I274" s="17"/>
      <c r="J274" s="19"/>
      <c r="K274" s="19"/>
      <c r="L274" s="17"/>
      <c r="M274" s="18"/>
    </row>
    <row r="275" spans="5:13" ht="18" hidden="1" customHeight="1" x14ac:dyDescent="0.25">
      <c r="E275" s="36"/>
      <c r="F275" s="13"/>
      <c r="G275" s="13"/>
      <c r="H275" s="17"/>
      <c r="I275" s="17"/>
      <c r="J275" s="19"/>
      <c r="K275" s="19"/>
      <c r="L275" s="17"/>
      <c r="M275" s="18"/>
    </row>
    <row r="276" spans="5:13" ht="18" hidden="1" customHeight="1" x14ac:dyDescent="0.25">
      <c r="E276" s="36"/>
      <c r="F276" s="13"/>
      <c r="G276" s="13"/>
      <c r="H276" s="17"/>
      <c r="I276" s="17"/>
      <c r="J276" s="19"/>
      <c r="K276" s="19"/>
      <c r="L276" s="17"/>
      <c r="M276" s="18"/>
    </row>
    <row r="277" spans="5:13" ht="18" hidden="1" customHeight="1" x14ac:dyDescent="0.25">
      <c r="E277" s="36"/>
      <c r="F277" s="13"/>
      <c r="G277" s="13"/>
      <c r="H277" s="17"/>
      <c r="I277" s="17"/>
      <c r="J277" s="19"/>
      <c r="K277" s="19"/>
      <c r="L277" s="17"/>
      <c r="M277" s="18"/>
    </row>
    <row r="278" spans="5:13" ht="18" hidden="1" customHeight="1" x14ac:dyDescent="0.25">
      <c r="E278" s="36"/>
      <c r="F278" s="13"/>
      <c r="G278" s="13"/>
      <c r="H278" s="17"/>
      <c r="I278" s="17"/>
      <c r="J278" s="19"/>
      <c r="K278" s="19"/>
      <c r="L278" s="17"/>
      <c r="M278" s="18"/>
    </row>
    <row r="279" spans="5:13" ht="18" hidden="1" customHeight="1" x14ac:dyDescent="0.25">
      <c r="E279" s="36"/>
      <c r="F279" s="13"/>
      <c r="G279" s="13"/>
      <c r="H279" s="17"/>
      <c r="I279" s="17"/>
      <c r="J279" s="19"/>
      <c r="K279" s="19"/>
      <c r="L279" s="17"/>
      <c r="M279" s="18"/>
    </row>
    <row r="280" spans="5:13" ht="18" hidden="1" customHeight="1" x14ac:dyDescent="0.25">
      <c r="E280" s="36"/>
      <c r="F280" s="13"/>
      <c r="G280" s="13"/>
      <c r="H280" s="17"/>
      <c r="I280" s="17"/>
      <c r="J280" s="19"/>
      <c r="K280" s="19"/>
      <c r="L280" s="17"/>
      <c r="M280" s="18"/>
    </row>
    <row r="281" spans="5:13" ht="18" hidden="1" customHeight="1" x14ac:dyDescent="0.25">
      <c r="E281" s="36"/>
      <c r="F281" s="13"/>
      <c r="G281" s="13"/>
      <c r="H281" s="17"/>
      <c r="I281" s="17"/>
      <c r="J281" s="19"/>
      <c r="K281" s="19"/>
      <c r="L281" s="17"/>
      <c r="M281" s="18"/>
    </row>
    <row r="282" spans="5:13" ht="18" hidden="1" customHeight="1" x14ac:dyDescent="0.25">
      <c r="E282" s="36"/>
      <c r="F282" s="13"/>
      <c r="G282" s="13"/>
      <c r="H282" s="17"/>
      <c r="I282" s="17"/>
      <c r="J282" s="19"/>
      <c r="K282" s="19"/>
      <c r="L282" s="17"/>
      <c r="M282" s="18"/>
    </row>
    <row r="283" spans="5:13" ht="18" hidden="1" customHeight="1" x14ac:dyDescent="0.25">
      <c r="E283" s="36"/>
      <c r="F283" s="13"/>
      <c r="G283" s="13"/>
      <c r="H283" s="17"/>
      <c r="I283" s="17"/>
      <c r="J283" s="19"/>
      <c r="K283" s="19"/>
      <c r="L283" s="17"/>
      <c r="M283" s="18"/>
    </row>
    <row r="284" spans="5:13" ht="18" hidden="1" customHeight="1" x14ac:dyDescent="0.25">
      <c r="E284" s="36"/>
      <c r="F284" s="13"/>
      <c r="G284" s="13"/>
      <c r="H284" s="17"/>
      <c r="I284" s="17"/>
      <c r="J284" s="19"/>
      <c r="K284" s="19"/>
      <c r="L284" s="17"/>
      <c r="M284" s="18"/>
    </row>
    <row r="285" spans="5:13" ht="18" hidden="1" customHeight="1" x14ac:dyDescent="0.25">
      <c r="E285" s="36"/>
      <c r="F285" s="13"/>
      <c r="G285" s="13"/>
      <c r="H285" s="17"/>
      <c r="I285" s="17"/>
      <c r="J285" s="19"/>
      <c r="K285" s="19"/>
      <c r="L285" s="17"/>
      <c r="M285" s="18"/>
    </row>
    <row r="286" spans="5:13" ht="18" hidden="1" customHeight="1" x14ac:dyDescent="0.25">
      <c r="E286" s="36"/>
      <c r="F286" s="13"/>
      <c r="G286" s="13"/>
      <c r="H286" s="17"/>
      <c r="I286" s="17"/>
      <c r="J286" s="19"/>
      <c r="K286" s="19"/>
      <c r="L286" s="17"/>
      <c r="M286" s="18"/>
    </row>
    <row r="287" spans="5:13" ht="18" hidden="1" customHeight="1" x14ac:dyDescent="0.25">
      <c r="E287" s="36"/>
      <c r="F287" s="13"/>
      <c r="G287" s="13"/>
      <c r="H287" s="17"/>
      <c r="I287" s="17"/>
      <c r="J287" s="19"/>
      <c r="K287" s="19"/>
      <c r="L287" s="17"/>
      <c r="M287" s="18"/>
    </row>
    <row r="288" spans="5:13" ht="18" hidden="1" customHeight="1" x14ac:dyDescent="0.25">
      <c r="E288" s="36"/>
      <c r="F288" s="13"/>
      <c r="G288" s="13"/>
      <c r="H288" s="17"/>
      <c r="I288" s="17"/>
      <c r="J288" s="19"/>
      <c r="K288" s="19"/>
      <c r="L288" s="17"/>
      <c r="M288" s="18"/>
    </row>
    <row r="289" spans="5:13" ht="18" hidden="1" customHeight="1" x14ac:dyDescent="0.25">
      <c r="E289" s="36"/>
      <c r="F289" s="13"/>
      <c r="G289" s="13"/>
      <c r="H289" s="17"/>
      <c r="I289" s="17"/>
      <c r="J289" s="19"/>
      <c r="K289" s="19"/>
      <c r="L289" s="17"/>
      <c r="M289" s="18"/>
    </row>
    <row r="290" spans="5:13" ht="18" hidden="1" customHeight="1" x14ac:dyDescent="0.25">
      <c r="E290" s="36"/>
      <c r="F290" s="13"/>
      <c r="G290" s="13"/>
      <c r="H290" s="17"/>
      <c r="I290" s="17"/>
      <c r="J290" s="19"/>
      <c r="K290" s="19"/>
      <c r="L290" s="17"/>
      <c r="M290" s="18"/>
    </row>
    <row r="291" spans="5:13" ht="18" hidden="1" customHeight="1" x14ac:dyDescent="0.25">
      <c r="E291" s="36"/>
      <c r="F291" s="13"/>
      <c r="G291" s="13"/>
      <c r="H291" s="17"/>
      <c r="I291" s="17"/>
      <c r="J291" s="19"/>
      <c r="K291" s="19"/>
      <c r="L291" s="17"/>
      <c r="M291" s="18"/>
    </row>
    <row r="292" spans="5:13" ht="18" hidden="1" customHeight="1" x14ac:dyDescent="0.25">
      <c r="E292" s="36"/>
      <c r="F292" s="13"/>
      <c r="G292" s="13"/>
      <c r="H292" s="17"/>
      <c r="I292" s="17"/>
      <c r="J292" s="19"/>
      <c r="K292" s="19"/>
      <c r="L292" s="17"/>
      <c r="M292" s="18"/>
    </row>
    <row r="293" spans="5:13" ht="18" hidden="1" customHeight="1" x14ac:dyDescent="0.25">
      <c r="E293" s="36"/>
      <c r="F293" s="13"/>
      <c r="G293" s="13"/>
      <c r="H293" s="17"/>
      <c r="I293" s="17"/>
      <c r="J293" s="19"/>
      <c r="K293" s="19"/>
      <c r="L293" s="17"/>
      <c r="M293" s="18"/>
    </row>
    <row r="294" spans="5:13" ht="18" hidden="1" customHeight="1" x14ac:dyDescent="0.25">
      <c r="E294" s="36"/>
      <c r="F294" s="13"/>
      <c r="G294" s="13"/>
      <c r="H294" s="17"/>
      <c r="I294" s="17"/>
      <c r="J294" s="19"/>
      <c r="K294" s="19"/>
      <c r="L294" s="17"/>
      <c r="M294" s="18"/>
    </row>
    <row r="295" spans="5:13" ht="18" hidden="1" customHeight="1" x14ac:dyDescent="0.25">
      <c r="E295" s="36"/>
      <c r="F295" s="13"/>
      <c r="G295" s="13"/>
      <c r="H295" s="17"/>
      <c r="I295" s="17"/>
      <c r="J295" s="19"/>
      <c r="K295" s="19"/>
      <c r="L295" s="17"/>
      <c r="M295" s="18"/>
    </row>
    <row r="296" spans="5:13" ht="18" hidden="1" customHeight="1" x14ac:dyDescent="0.25">
      <c r="E296" s="36"/>
      <c r="F296" s="13"/>
      <c r="G296" s="13"/>
      <c r="H296" s="17"/>
      <c r="I296" s="17"/>
      <c r="J296" s="19"/>
      <c r="K296" s="19"/>
      <c r="L296" s="17"/>
      <c r="M296" s="18"/>
    </row>
    <row r="297" spans="5:13" ht="18" hidden="1" customHeight="1" x14ac:dyDescent="0.25">
      <c r="E297" s="36"/>
      <c r="F297" s="13"/>
      <c r="G297" s="13"/>
      <c r="H297" s="17"/>
      <c r="I297" s="17"/>
      <c r="J297" s="19"/>
      <c r="K297" s="19"/>
      <c r="L297" s="17"/>
      <c r="M297" s="18"/>
    </row>
    <row r="298" spans="5:13" ht="18" hidden="1" customHeight="1" x14ac:dyDescent="0.25">
      <c r="E298" s="36"/>
      <c r="F298" s="13"/>
      <c r="G298" s="13"/>
      <c r="H298" s="17"/>
      <c r="I298" s="17"/>
      <c r="J298" s="19"/>
      <c r="K298" s="19"/>
      <c r="L298" s="17"/>
      <c r="M298" s="18"/>
    </row>
    <row r="299" spans="5:13" ht="18" hidden="1" customHeight="1" x14ac:dyDescent="0.25">
      <c r="E299" s="36"/>
      <c r="F299" s="13"/>
      <c r="G299" s="13"/>
      <c r="H299" s="17"/>
      <c r="I299" s="17"/>
      <c r="J299" s="19"/>
      <c r="K299" s="19"/>
      <c r="L299" s="17"/>
      <c r="M299" s="18"/>
    </row>
    <row r="300" spans="5:13" ht="18" hidden="1" customHeight="1" x14ac:dyDescent="0.25">
      <c r="E300" s="36"/>
      <c r="F300" s="13"/>
      <c r="G300" s="13"/>
      <c r="H300" s="17"/>
      <c r="I300" s="17"/>
      <c r="J300" s="19"/>
      <c r="K300" s="19"/>
      <c r="L300" s="17"/>
      <c r="M300" s="18"/>
    </row>
    <row r="301" spans="5:13" ht="18" hidden="1" customHeight="1" x14ac:dyDescent="0.25">
      <c r="E301" s="36"/>
      <c r="F301" s="13"/>
      <c r="G301" s="13"/>
      <c r="H301" s="17"/>
      <c r="I301" s="17"/>
      <c r="J301" s="19"/>
      <c r="K301" s="19"/>
      <c r="L301" s="17"/>
      <c r="M301" s="18"/>
    </row>
    <row r="302" spans="5:13" ht="18" hidden="1" customHeight="1" x14ac:dyDescent="0.25">
      <c r="E302" s="36"/>
      <c r="F302" s="13"/>
      <c r="G302" s="13"/>
      <c r="H302" s="17"/>
      <c r="I302" s="17"/>
      <c r="J302" s="19"/>
      <c r="K302" s="19"/>
      <c r="L302" s="17"/>
      <c r="M302" s="18"/>
    </row>
    <row r="303" spans="5:13" ht="18" hidden="1" customHeight="1" x14ac:dyDescent="0.25">
      <c r="E303" s="36"/>
      <c r="F303" s="13"/>
      <c r="G303" s="13"/>
      <c r="H303" s="17"/>
      <c r="I303" s="17"/>
      <c r="J303" s="19"/>
      <c r="K303" s="19"/>
      <c r="L303" s="17"/>
      <c r="M303" s="18"/>
    </row>
    <row r="304" spans="5:13" ht="18" hidden="1" customHeight="1" x14ac:dyDescent="0.25">
      <c r="E304" s="36"/>
      <c r="F304" s="13"/>
      <c r="G304" s="13"/>
      <c r="H304" s="17"/>
      <c r="I304" s="17"/>
      <c r="J304" s="19"/>
      <c r="K304" s="19"/>
      <c r="L304" s="17"/>
      <c r="M304" s="18"/>
    </row>
    <row r="305" spans="5:13" ht="18" hidden="1" customHeight="1" x14ac:dyDescent="0.25">
      <c r="E305" s="36"/>
      <c r="F305" s="13"/>
      <c r="G305" s="13"/>
      <c r="H305" s="17"/>
      <c r="I305" s="17"/>
      <c r="J305" s="19"/>
      <c r="K305" s="19"/>
      <c r="L305" s="17"/>
      <c r="M305" s="18"/>
    </row>
    <row r="306" spans="5:13" ht="18" hidden="1" customHeight="1" x14ac:dyDescent="0.25">
      <c r="E306" s="36"/>
      <c r="F306" s="13"/>
      <c r="G306" s="13"/>
      <c r="H306" s="17"/>
      <c r="I306" s="17"/>
      <c r="J306" s="19"/>
      <c r="K306" s="19"/>
      <c r="L306" s="17"/>
      <c r="M306" s="18"/>
    </row>
    <row r="307" spans="5:13" ht="18" hidden="1" customHeight="1" x14ac:dyDescent="0.25">
      <c r="E307" s="36"/>
      <c r="F307" s="13"/>
      <c r="G307" s="13"/>
      <c r="H307" s="17"/>
      <c r="I307" s="17"/>
      <c r="J307" s="19"/>
      <c r="K307" s="19"/>
      <c r="L307" s="17"/>
      <c r="M307" s="18"/>
    </row>
    <row r="308" spans="5:13" ht="18" hidden="1" customHeight="1" x14ac:dyDescent="0.25">
      <c r="E308" s="36"/>
      <c r="F308" s="13"/>
      <c r="G308" s="13"/>
      <c r="H308" s="17"/>
      <c r="I308" s="17"/>
      <c r="J308" s="19"/>
      <c r="K308" s="19"/>
      <c r="L308" s="17"/>
      <c r="M308" s="18"/>
    </row>
    <row r="309" spans="5:13" ht="18" hidden="1" customHeight="1" x14ac:dyDescent="0.25">
      <c r="E309" s="36"/>
      <c r="F309" s="13"/>
      <c r="G309" s="13"/>
      <c r="H309" s="17"/>
      <c r="I309" s="17"/>
      <c r="J309" s="19"/>
      <c r="K309" s="19"/>
      <c r="L309" s="17"/>
      <c r="M309" s="18"/>
    </row>
    <row r="310" spans="5:13" ht="18" hidden="1" customHeight="1" x14ac:dyDescent="0.25">
      <c r="E310" s="36"/>
      <c r="F310" s="13"/>
      <c r="G310" s="13"/>
      <c r="H310" s="17"/>
      <c r="I310" s="17"/>
      <c r="J310" s="19"/>
      <c r="K310" s="19"/>
      <c r="L310" s="17"/>
      <c r="M310" s="18"/>
    </row>
    <row r="311" spans="5:13" ht="18" hidden="1" customHeight="1" x14ac:dyDescent="0.25">
      <c r="E311" s="36"/>
      <c r="F311" s="13"/>
      <c r="G311" s="13"/>
      <c r="H311" s="17"/>
      <c r="I311" s="17"/>
      <c r="J311" s="19"/>
      <c r="K311" s="19"/>
      <c r="L311" s="17"/>
      <c r="M311" s="18"/>
    </row>
    <row r="312" spans="5:13" ht="18" hidden="1" customHeight="1" x14ac:dyDescent="0.25">
      <c r="E312" s="36"/>
      <c r="F312" s="13"/>
      <c r="G312" s="13"/>
      <c r="H312" s="17"/>
      <c r="I312" s="17"/>
      <c r="J312" s="19"/>
      <c r="K312" s="19"/>
      <c r="L312" s="17"/>
      <c r="M312" s="18"/>
    </row>
    <row r="313" spans="5:13" ht="18" hidden="1" customHeight="1" x14ac:dyDescent="0.25">
      <c r="E313" s="36"/>
      <c r="F313" s="13"/>
      <c r="G313" s="13"/>
      <c r="H313" s="17"/>
      <c r="I313" s="17"/>
      <c r="J313" s="19"/>
      <c r="K313" s="19"/>
      <c r="L313" s="17"/>
      <c r="M313" s="18"/>
    </row>
    <row r="314" spans="5:13" ht="18" hidden="1" customHeight="1" x14ac:dyDescent="0.25">
      <c r="E314" s="36"/>
      <c r="F314" s="13"/>
      <c r="G314" s="13"/>
      <c r="H314" s="17"/>
      <c r="I314" s="17"/>
      <c r="J314" s="19"/>
      <c r="K314" s="19"/>
      <c r="L314" s="17"/>
      <c r="M314" s="18"/>
    </row>
    <row r="315" spans="5:13" ht="18" hidden="1" customHeight="1" x14ac:dyDescent="0.25">
      <c r="E315" s="36"/>
      <c r="F315" s="13"/>
      <c r="G315" s="13"/>
      <c r="H315" s="17"/>
      <c r="I315" s="17"/>
      <c r="J315" s="19"/>
      <c r="K315" s="19"/>
      <c r="L315" s="17"/>
      <c r="M315" s="18"/>
    </row>
    <row r="316" spans="5:13" ht="18" hidden="1" customHeight="1" x14ac:dyDescent="0.25">
      <c r="E316" s="36"/>
      <c r="F316" s="13"/>
      <c r="G316" s="13"/>
      <c r="H316" s="17"/>
      <c r="I316" s="17"/>
      <c r="J316" s="19"/>
      <c r="K316" s="19"/>
      <c r="L316" s="17"/>
      <c r="M316" s="18"/>
    </row>
    <row r="317" spans="5:13" ht="18" hidden="1" customHeight="1" x14ac:dyDescent="0.25">
      <c r="E317" s="36"/>
      <c r="F317" s="13"/>
      <c r="G317" s="13"/>
      <c r="H317" s="17"/>
      <c r="I317" s="17"/>
      <c r="J317" s="19"/>
      <c r="K317" s="19"/>
      <c r="L317" s="17"/>
      <c r="M317" s="18"/>
    </row>
    <row r="318" spans="5:13" ht="18" hidden="1" customHeight="1" x14ac:dyDescent="0.25">
      <c r="E318" s="36"/>
      <c r="F318" s="13"/>
      <c r="G318" s="13"/>
      <c r="H318" s="17"/>
      <c r="I318" s="17"/>
      <c r="J318" s="19"/>
      <c r="K318" s="19"/>
      <c r="L318" s="17"/>
      <c r="M318" s="18"/>
    </row>
    <row r="319" spans="5:13" ht="18" hidden="1" customHeight="1" x14ac:dyDescent="0.25">
      <c r="E319" s="36"/>
      <c r="F319" s="13"/>
      <c r="G319" s="13"/>
      <c r="H319" s="17"/>
      <c r="I319" s="17"/>
      <c r="J319" s="19"/>
      <c r="K319" s="19"/>
      <c r="L319" s="17"/>
      <c r="M319" s="18"/>
    </row>
    <row r="320" spans="5:13" ht="18" hidden="1" customHeight="1" x14ac:dyDescent="0.25">
      <c r="E320" s="36"/>
      <c r="F320" s="13"/>
      <c r="G320" s="13"/>
      <c r="H320" s="17"/>
      <c r="I320" s="17"/>
      <c r="J320" s="19"/>
      <c r="K320" s="19"/>
      <c r="L320" s="17"/>
      <c r="M320" s="18"/>
    </row>
    <row r="321" spans="5:13" ht="18" hidden="1" customHeight="1" x14ac:dyDescent="0.25">
      <c r="E321" s="36"/>
      <c r="F321" s="13"/>
      <c r="G321" s="13"/>
      <c r="H321" s="17"/>
      <c r="I321" s="17"/>
      <c r="J321" s="19"/>
      <c r="K321" s="19"/>
      <c r="L321" s="17"/>
      <c r="M321" s="18"/>
    </row>
    <row r="322" spans="5:13" ht="18" hidden="1" customHeight="1" x14ac:dyDescent="0.25">
      <c r="E322" s="36"/>
      <c r="F322" s="13"/>
      <c r="G322" s="13"/>
      <c r="H322" s="17"/>
      <c r="I322" s="17"/>
      <c r="J322" s="19"/>
      <c r="K322" s="19"/>
      <c r="L322" s="17"/>
      <c r="M322" s="18"/>
    </row>
    <row r="323" spans="5:13" ht="18" hidden="1" customHeight="1" x14ac:dyDescent="0.25">
      <c r="E323" s="36"/>
      <c r="F323" s="13"/>
      <c r="G323" s="13"/>
      <c r="H323" s="17"/>
      <c r="I323" s="17"/>
      <c r="J323" s="19"/>
      <c r="K323" s="19"/>
      <c r="L323" s="17"/>
      <c r="M323" s="18"/>
    </row>
    <row r="324" spans="5:13" ht="18" hidden="1" customHeight="1" x14ac:dyDescent="0.25">
      <c r="E324" s="36"/>
      <c r="F324" s="13"/>
      <c r="G324" s="13"/>
      <c r="H324" s="17"/>
      <c r="I324" s="17"/>
      <c r="J324" s="19"/>
      <c r="K324" s="19"/>
      <c r="L324" s="17"/>
      <c r="M324" s="18"/>
    </row>
    <row r="325" spans="5:13" ht="18" hidden="1" customHeight="1" x14ac:dyDescent="0.25">
      <c r="E325" s="36"/>
      <c r="F325" s="13"/>
      <c r="G325" s="13"/>
      <c r="H325" s="17"/>
      <c r="I325" s="17"/>
      <c r="J325" s="19"/>
      <c r="K325" s="19"/>
      <c r="L325" s="17"/>
      <c r="M325" s="18"/>
    </row>
    <row r="326" spans="5:13" ht="18" hidden="1" customHeight="1" x14ac:dyDescent="0.25">
      <c r="E326" s="36"/>
      <c r="F326" s="13"/>
      <c r="G326" s="13"/>
      <c r="H326" s="17"/>
      <c r="I326" s="17"/>
      <c r="J326" s="19"/>
      <c r="K326" s="19"/>
      <c r="L326" s="17"/>
      <c r="M326" s="18"/>
    </row>
    <row r="327" spans="5:13" ht="18" hidden="1" customHeight="1" x14ac:dyDescent="0.25">
      <c r="E327" s="36"/>
      <c r="F327" s="13"/>
      <c r="G327" s="13"/>
      <c r="H327" s="17"/>
      <c r="I327" s="17"/>
      <c r="J327" s="19"/>
      <c r="K327" s="19"/>
      <c r="L327" s="17"/>
      <c r="M327" s="18"/>
    </row>
    <row r="328" spans="5:13" ht="18" hidden="1" customHeight="1" x14ac:dyDescent="0.25">
      <c r="E328" s="36"/>
      <c r="F328" s="13"/>
      <c r="G328" s="13"/>
      <c r="H328" s="17"/>
      <c r="I328" s="17"/>
      <c r="J328" s="19"/>
      <c r="K328" s="19"/>
      <c r="L328" s="17"/>
      <c r="M328" s="18"/>
    </row>
    <row r="329" spans="5:13" ht="18" hidden="1" customHeight="1" x14ac:dyDescent="0.25">
      <c r="E329" s="36"/>
      <c r="F329" s="13"/>
      <c r="G329" s="13"/>
      <c r="H329" s="17"/>
      <c r="I329" s="17"/>
      <c r="J329" s="19"/>
      <c r="K329" s="19"/>
      <c r="L329" s="17"/>
      <c r="M329" s="18"/>
    </row>
    <row r="330" spans="5:13" ht="18" hidden="1" customHeight="1" x14ac:dyDescent="0.25">
      <c r="E330" s="36"/>
      <c r="F330" s="13"/>
      <c r="G330" s="13"/>
      <c r="H330" s="17"/>
      <c r="I330" s="17"/>
      <c r="J330" s="19"/>
      <c r="K330" s="19"/>
      <c r="L330" s="17"/>
      <c r="M330" s="18"/>
    </row>
    <row r="331" spans="5:13" ht="18" hidden="1" customHeight="1" x14ac:dyDescent="0.25">
      <c r="E331" s="36"/>
      <c r="F331" s="13"/>
      <c r="G331" s="13"/>
      <c r="H331" s="17"/>
      <c r="I331" s="17"/>
      <c r="J331" s="19"/>
      <c r="K331" s="19"/>
      <c r="L331" s="17"/>
      <c r="M331" s="18"/>
    </row>
    <row r="332" spans="5:13" ht="18" hidden="1" customHeight="1" x14ac:dyDescent="0.25">
      <c r="E332" s="36"/>
      <c r="F332" s="13"/>
      <c r="G332" s="13"/>
      <c r="H332" s="17"/>
      <c r="I332" s="17"/>
      <c r="J332" s="19"/>
      <c r="K332" s="19"/>
      <c r="L332" s="17"/>
      <c r="M332" s="18"/>
    </row>
    <row r="333" spans="5:13" ht="18" hidden="1" customHeight="1" x14ac:dyDescent="0.25">
      <c r="E333" s="36"/>
      <c r="F333" s="13"/>
      <c r="G333" s="13"/>
      <c r="H333" s="17"/>
      <c r="I333" s="17"/>
      <c r="J333" s="19"/>
      <c r="K333" s="19"/>
      <c r="L333" s="17"/>
      <c r="M333" s="18"/>
    </row>
    <row r="334" spans="5:13" ht="18" hidden="1" customHeight="1" x14ac:dyDescent="0.25">
      <c r="E334" s="36"/>
      <c r="F334" s="13"/>
      <c r="G334" s="13"/>
      <c r="H334" s="17"/>
      <c r="I334" s="17"/>
      <c r="J334" s="19"/>
      <c r="K334" s="19"/>
      <c r="L334" s="17"/>
      <c r="M334" s="18"/>
    </row>
    <row r="335" spans="5:13" ht="18" hidden="1" customHeight="1" x14ac:dyDescent="0.25">
      <c r="E335" s="36"/>
      <c r="F335" s="13"/>
      <c r="G335" s="13"/>
      <c r="H335" s="17"/>
      <c r="I335" s="17"/>
      <c r="J335" s="19"/>
      <c r="K335" s="19"/>
      <c r="L335" s="17"/>
      <c r="M335" s="18"/>
    </row>
    <row r="336" spans="5:13" ht="18" hidden="1" customHeight="1" x14ac:dyDescent="0.25">
      <c r="E336" s="36"/>
      <c r="F336" s="13"/>
      <c r="G336" s="13"/>
      <c r="H336" s="17"/>
      <c r="I336" s="17"/>
      <c r="J336" s="19"/>
      <c r="K336" s="19"/>
      <c r="L336" s="17"/>
      <c r="M336" s="18"/>
    </row>
    <row r="337" spans="5:13" ht="18" hidden="1" customHeight="1" x14ac:dyDescent="0.25">
      <c r="E337" s="36"/>
      <c r="F337" s="13"/>
      <c r="G337" s="13"/>
      <c r="H337" s="17"/>
      <c r="I337" s="17"/>
      <c r="J337" s="19"/>
      <c r="K337" s="19"/>
      <c r="L337" s="17"/>
      <c r="M337" s="18"/>
    </row>
    <row r="338" spans="5:13" ht="18" hidden="1" customHeight="1" x14ac:dyDescent="0.25">
      <c r="E338" s="36"/>
      <c r="F338" s="13"/>
      <c r="G338" s="13"/>
      <c r="H338" s="17"/>
      <c r="I338" s="17"/>
      <c r="J338" s="19"/>
      <c r="K338" s="19"/>
      <c r="L338" s="17"/>
      <c r="M338" s="18"/>
    </row>
    <row r="339" spans="5:13" ht="18" hidden="1" customHeight="1" x14ac:dyDescent="0.25">
      <c r="E339" s="36"/>
      <c r="F339" s="13"/>
      <c r="G339" s="13"/>
      <c r="H339" s="17"/>
      <c r="I339" s="17"/>
      <c r="J339" s="19"/>
      <c r="K339" s="19"/>
      <c r="L339" s="17"/>
      <c r="M339" s="18"/>
    </row>
    <row r="340" spans="5:13" ht="18" hidden="1" customHeight="1" x14ac:dyDescent="0.25">
      <c r="E340" s="36"/>
      <c r="F340" s="13"/>
      <c r="G340" s="13"/>
      <c r="H340" s="17"/>
      <c r="I340" s="17"/>
      <c r="J340" s="19"/>
      <c r="K340" s="19"/>
      <c r="L340" s="17"/>
      <c r="M340" s="18"/>
    </row>
    <row r="341" spans="5:13" ht="18" hidden="1" customHeight="1" x14ac:dyDescent="0.25">
      <c r="E341" s="36"/>
      <c r="F341" s="13"/>
      <c r="G341" s="13"/>
      <c r="H341" s="17"/>
      <c r="I341" s="17"/>
      <c r="J341" s="19"/>
      <c r="K341" s="19"/>
      <c r="L341" s="17"/>
      <c r="M341" s="18"/>
    </row>
    <row r="342" spans="5:13" ht="18" hidden="1" customHeight="1" x14ac:dyDescent="0.25">
      <c r="E342" s="36"/>
      <c r="F342" s="13"/>
      <c r="G342" s="13"/>
      <c r="H342" s="17"/>
      <c r="I342" s="17"/>
      <c r="J342" s="19"/>
      <c r="K342" s="19"/>
      <c r="L342" s="17"/>
      <c r="M342" s="18"/>
    </row>
    <row r="343" spans="5:13" ht="18" hidden="1" customHeight="1" x14ac:dyDescent="0.25">
      <c r="E343" s="36"/>
      <c r="F343" s="13"/>
      <c r="G343" s="13"/>
      <c r="H343" s="17"/>
      <c r="I343" s="17"/>
      <c r="J343" s="19"/>
      <c r="K343" s="19"/>
      <c r="L343" s="17"/>
      <c r="M343" s="18"/>
    </row>
    <row r="344" spans="5:13" ht="18" hidden="1" customHeight="1" x14ac:dyDescent="0.25">
      <c r="E344" s="36"/>
      <c r="F344" s="13"/>
      <c r="G344" s="13"/>
      <c r="H344" s="17"/>
      <c r="I344" s="17"/>
      <c r="J344" s="19"/>
      <c r="K344" s="19"/>
      <c r="L344" s="17"/>
      <c r="M344" s="18"/>
    </row>
    <row r="345" spans="5:13" ht="18" hidden="1" customHeight="1" x14ac:dyDescent="0.25">
      <c r="E345" s="36"/>
      <c r="F345" s="13"/>
      <c r="G345" s="13"/>
      <c r="H345" s="17"/>
      <c r="I345" s="17"/>
      <c r="J345" s="19"/>
      <c r="K345" s="19"/>
      <c r="L345" s="17"/>
      <c r="M345" s="18"/>
    </row>
    <row r="346" spans="5:13" ht="18" hidden="1" customHeight="1" x14ac:dyDescent="0.25">
      <c r="E346" s="36"/>
      <c r="F346" s="13"/>
      <c r="G346" s="13"/>
      <c r="H346" s="17"/>
      <c r="I346" s="17"/>
      <c r="J346" s="19"/>
      <c r="K346" s="19"/>
      <c r="L346" s="17"/>
      <c r="M346" s="18"/>
    </row>
    <row r="347" spans="5:13" ht="18" hidden="1" customHeight="1" x14ac:dyDescent="0.25">
      <c r="E347" s="36"/>
      <c r="F347" s="13"/>
      <c r="G347" s="13"/>
      <c r="H347" s="17"/>
      <c r="I347" s="17"/>
      <c r="J347" s="19"/>
      <c r="K347" s="19"/>
      <c r="L347" s="17"/>
      <c r="M347" s="18"/>
    </row>
    <row r="348" spans="5:13" ht="18" hidden="1" customHeight="1" x14ac:dyDescent="0.25">
      <c r="E348" s="36"/>
      <c r="F348" s="13"/>
      <c r="G348" s="13"/>
      <c r="H348" s="17"/>
      <c r="I348" s="17"/>
      <c r="J348" s="19"/>
      <c r="K348" s="19"/>
      <c r="L348" s="17"/>
      <c r="M348" s="18"/>
    </row>
    <row r="349" spans="5:13" ht="18" hidden="1" customHeight="1" x14ac:dyDescent="0.25">
      <c r="E349" s="36"/>
      <c r="F349" s="13"/>
      <c r="G349" s="13"/>
      <c r="H349" s="17"/>
      <c r="I349" s="17"/>
      <c r="J349" s="19"/>
      <c r="K349" s="19"/>
      <c r="L349" s="17"/>
      <c r="M349" s="18"/>
    </row>
    <row r="350" spans="5:13" ht="18" hidden="1" customHeight="1" x14ac:dyDescent="0.25">
      <c r="E350" s="36"/>
      <c r="F350" s="13"/>
      <c r="G350" s="13"/>
      <c r="H350" s="17"/>
      <c r="I350" s="17"/>
      <c r="J350" s="19"/>
      <c r="K350" s="19"/>
      <c r="L350" s="17"/>
      <c r="M350" s="18"/>
    </row>
    <row r="351" spans="5:13" ht="18" hidden="1" customHeight="1" x14ac:dyDescent="0.25">
      <c r="E351" s="36"/>
      <c r="F351" s="13"/>
      <c r="G351" s="13"/>
      <c r="H351" s="17"/>
      <c r="I351" s="17"/>
      <c r="J351" s="19"/>
      <c r="K351" s="19"/>
      <c r="L351" s="17"/>
      <c r="M351" s="18"/>
    </row>
    <row r="352" spans="5:13" ht="18" hidden="1" customHeight="1" x14ac:dyDescent="0.25">
      <c r="E352" s="36"/>
      <c r="F352" s="13"/>
      <c r="G352" s="13"/>
      <c r="H352" s="17"/>
      <c r="I352" s="17"/>
      <c r="J352" s="19"/>
      <c r="K352" s="19"/>
      <c r="L352" s="17"/>
      <c r="M352" s="18"/>
    </row>
    <row r="353" spans="5:13" ht="18" hidden="1" customHeight="1" x14ac:dyDescent="0.25">
      <c r="E353" s="36"/>
      <c r="F353" s="13"/>
      <c r="G353" s="13"/>
      <c r="H353" s="17"/>
      <c r="I353" s="17"/>
      <c r="J353" s="19"/>
      <c r="K353" s="19"/>
      <c r="L353" s="17"/>
      <c r="M353" s="18"/>
    </row>
    <row r="354" spans="5:13" ht="18" hidden="1" customHeight="1" x14ac:dyDescent="0.25">
      <c r="E354" s="36"/>
      <c r="F354" s="13"/>
      <c r="G354" s="13"/>
      <c r="H354" s="17"/>
      <c r="I354" s="17"/>
      <c r="J354" s="19"/>
      <c r="K354" s="19"/>
      <c r="L354" s="17"/>
      <c r="M354" s="18"/>
    </row>
    <row r="355" spans="5:13" ht="18" hidden="1" customHeight="1" x14ac:dyDescent="0.25">
      <c r="E355" s="36"/>
      <c r="F355" s="13"/>
      <c r="G355" s="13"/>
      <c r="H355" s="17"/>
      <c r="I355" s="17"/>
      <c r="J355" s="19"/>
      <c r="K355" s="19"/>
      <c r="L355" s="17"/>
      <c r="M355" s="18"/>
    </row>
    <row r="356" spans="5:13" ht="18" hidden="1" customHeight="1" x14ac:dyDescent="0.25">
      <c r="E356" s="36"/>
      <c r="F356" s="13"/>
      <c r="G356" s="13"/>
      <c r="H356" s="17"/>
      <c r="I356" s="17"/>
      <c r="J356" s="19"/>
      <c r="K356" s="19"/>
      <c r="L356" s="17"/>
      <c r="M356" s="18"/>
    </row>
    <row r="357" spans="5:13" ht="18" hidden="1" customHeight="1" x14ac:dyDescent="0.25">
      <c r="E357" s="36"/>
      <c r="F357" s="13"/>
      <c r="G357" s="13"/>
      <c r="H357" s="17"/>
      <c r="I357" s="17"/>
      <c r="J357" s="19"/>
      <c r="K357" s="19"/>
      <c r="L357" s="17"/>
      <c r="M357" s="18"/>
    </row>
    <row r="358" spans="5:13" ht="18" hidden="1" customHeight="1" x14ac:dyDescent="0.25">
      <c r="E358" s="36"/>
      <c r="F358" s="13"/>
      <c r="G358" s="13"/>
      <c r="H358" s="17"/>
      <c r="I358" s="17"/>
      <c r="J358" s="19"/>
      <c r="K358" s="19"/>
      <c r="L358" s="17"/>
      <c r="M358" s="18"/>
    </row>
    <row r="359" spans="5:13" ht="18" hidden="1" customHeight="1" x14ac:dyDescent="0.25">
      <c r="E359" s="36"/>
      <c r="F359" s="13"/>
      <c r="G359" s="13"/>
      <c r="H359" s="17"/>
      <c r="I359" s="17"/>
      <c r="J359" s="19"/>
      <c r="K359" s="19"/>
      <c r="L359" s="17"/>
      <c r="M359" s="18"/>
    </row>
    <row r="360" spans="5:13" ht="18" hidden="1" customHeight="1" x14ac:dyDescent="0.25">
      <c r="E360" s="36"/>
      <c r="F360" s="13"/>
      <c r="G360" s="13"/>
      <c r="H360" s="17"/>
      <c r="I360" s="17"/>
      <c r="J360" s="19"/>
      <c r="K360" s="19"/>
      <c r="L360" s="17"/>
      <c r="M360" s="18"/>
    </row>
    <row r="361" spans="5:13" ht="18" hidden="1" customHeight="1" x14ac:dyDescent="0.25">
      <c r="E361" s="36"/>
      <c r="F361" s="13"/>
      <c r="G361" s="13"/>
      <c r="H361" s="17"/>
      <c r="I361" s="17"/>
      <c r="J361" s="19"/>
      <c r="K361" s="19"/>
      <c r="L361" s="17"/>
      <c r="M361" s="18"/>
    </row>
    <row r="362" spans="5:13" ht="18" hidden="1" customHeight="1" x14ac:dyDescent="0.25">
      <c r="E362" s="36"/>
      <c r="F362" s="13"/>
      <c r="G362" s="13"/>
      <c r="H362" s="17"/>
      <c r="I362" s="17"/>
      <c r="J362" s="19"/>
      <c r="K362" s="19"/>
      <c r="L362" s="17"/>
      <c r="M362" s="18"/>
    </row>
    <row r="363" spans="5:13" ht="18" hidden="1" customHeight="1" x14ac:dyDescent="0.25">
      <c r="E363" s="36"/>
      <c r="F363" s="13"/>
      <c r="G363" s="13"/>
      <c r="H363" s="17"/>
      <c r="I363" s="17"/>
      <c r="J363" s="19"/>
      <c r="K363" s="19"/>
      <c r="L363" s="17"/>
      <c r="M363" s="18"/>
    </row>
    <row r="364" spans="5:13" ht="18" hidden="1" customHeight="1" x14ac:dyDescent="0.25">
      <c r="E364" s="36"/>
      <c r="F364" s="13"/>
      <c r="G364" s="13"/>
      <c r="H364" s="17"/>
      <c r="I364" s="17"/>
      <c r="J364" s="19"/>
      <c r="K364" s="19"/>
      <c r="L364" s="17"/>
      <c r="M364" s="18"/>
    </row>
    <row r="365" spans="5:13" ht="18" hidden="1" customHeight="1" x14ac:dyDescent="0.25">
      <c r="E365" s="36"/>
      <c r="F365" s="13"/>
      <c r="G365" s="13"/>
      <c r="H365" s="17"/>
      <c r="I365" s="17"/>
      <c r="J365" s="19"/>
      <c r="K365" s="19"/>
      <c r="L365" s="17"/>
      <c r="M365" s="18"/>
    </row>
    <row r="366" spans="5:13" ht="18" hidden="1" customHeight="1" x14ac:dyDescent="0.25">
      <c r="E366" s="36"/>
      <c r="F366" s="13"/>
      <c r="G366" s="13"/>
      <c r="H366" s="17"/>
      <c r="I366" s="17"/>
      <c r="J366" s="19"/>
      <c r="K366" s="19"/>
      <c r="L366" s="17"/>
      <c r="M366" s="18"/>
    </row>
    <row r="367" spans="5:13" ht="18" hidden="1" customHeight="1" x14ac:dyDescent="0.25">
      <c r="E367" s="36"/>
      <c r="F367" s="13"/>
      <c r="G367" s="13"/>
      <c r="H367" s="17"/>
      <c r="I367" s="17"/>
      <c r="J367" s="19"/>
      <c r="K367" s="19"/>
      <c r="L367" s="17"/>
      <c r="M367" s="18"/>
    </row>
    <row r="368" spans="5:13" ht="18" hidden="1" customHeight="1" x14ac:dyDescent="0.25">
      <c r="E368" s="36"/>
      <c r="F368" s="13"/>
      <c r="G368" s="13"/>
      <c r="H368" s="17"/>
      <c r="I368" s="17"/>
      <c r="J368" s="19"/>
      <c r="K368" s="19"/>
      <c r="L368" s="17"/>
      <c r="M368" s="18"/>
    </row>
    <row r="369" spans="5:13" ht="18" hidden="1" customHeight="1" x14ac:dyDescent="0.25">
      <c r="E369" s="36"/>
      <c r="F369" s="13"/>
      <c r="G369" s="13"/>
      <c r="H369" s="17"/>
      <c r="I369" s="17"/>
      <c r="J369" s="19"/>
      <c r="K369" s="19"/>
      <c r="L369" s="17"/>
      <c r="M369" s="18"/>
    </row>
    <row r="370" spans="5:13" ht="18" hidden="1" customHeight="1" x14ac:dyDescent="0.25">
      <c r="E370" s="36"/>
      <c r="F370" s="13"/>
      <c r="G370" s="13"/>
      <c r="H370" s="17"/>
      <c r="I370" s="17"/>
      <c r="J370" s="19"/>
      <c r="K370" s="19"/>
      <c r="L370" s="17"/>
      <c r="M370" s="18"/>
    </row>
    <row r="371" spans="5:13" ht="18" hidden="1" customHeight="1" x14ac:dyDescent="0.25">
      <c r="E371" s="36"/>
      <c r="F371" s="13"/>
      <c r="G371" s="13"/>
      <c r="H371" s="17"/>
      <c r="I371" s="17"/>
      <c r="J371" s="19"/>
      <c r="K371" s="19"/>
      <c r="L371" s="17"/>
      <c r="M371" s="18"/>
    </row>
    <row r="372" spans="5:13" ht="18" hidden="1" customHeight="1" x14ac:dyDescent="0.25">
      <c r="E372" s="36"/>
      <c r="F372" s="13"/>
      <c r="G372" s="13"/>
      <c r="H372" s="17"/>
      <c r="I372" s="17"/>
      <c r="J372" s="19"/>
      <c r="K372" s="19"/>
      <c r="L372" s="17"/>
      <c r="M372" s="18"/>
    </row>
    <row r="373" spans="5:13" ht="18" hidden="1" customHeight="1" x14ac:dyDescent="0.25">
      <c r="E373" s="36"/>
      <c r="F373" s="13"/>
      <c r="G373" s="13"/>
      <c r="H373" s="17"/>
      <c r="I373" s="17"/>
      <c r="J373" s="19"/>
      <c r="K373" s="19"/>
      <c r="L373" s="17"/>
      <c r="M373" s="18"/>
    </row>
    <row r="374" spans="5:13" ht="18" hidden="1" customHeight="1" x14ac:dyDescent="0.25">
      <c r="E374" s="36"/>
      <c r="F374" s="13"/>
      <c r="G374" s="13"/>
      <c r="H374" s="17"/>
      <c r="I374" s="17"/>
      <c r="J374" s="19"/>
      <c r="K374" s="19"/>
      <c r="L374" s="17"/>
      <c r="M374" s="18"/>
    </row>
    <row r="375" spans="5:13" ht="18" hidden="1" customHeight="1" x14ac:dyDescent="0.25">
      <c r="E375" s="36"/>
      <c r="F375" s="13"/>
      <c r="G375" s="13"/>
      <c r="H375" s="17"/>
      <c r="I375" s="17"/>
      <c r="J375" s="19"/>
      <c r="K375" s="19"/>
      <c r="L375" s="17"/>
      <c r="M375" s="18"/>
    </row>
    <row r="376" spans="5:13" ht="18" hidden="1" customHeight="1" x14ac:dyDescent="0.25">
      <c r="E376" s="36"/>
      <c r="F376" s="13"/>
      <c r="G376" s="13"/>
      <c r="H376" s="17"/>
      <c r="I376" s="17"/>
      <c r="J376" s="19"/>
      <c r="K376" s="19"/>
      <c r="L376" s="17"/>
      <c r="M376" s="18"/>
    </row>
    <row r="377" spans="5:13" ht="18" hidden="1" customHeight="1" x14ac:dyDescent="0.25">
      <c r="E377" s="36"/>
      <c r="F377" s="13"/>
      <c r="G377" s="13"/>
      <c r="H377" s="17"/>
      <c r="I377" s="17"/>
      <c r="J377" s="19"/>
      <c r="K377" s="19"/>
      <c r="L377" s="17"/>
      <c r="M377" s="18"/>
    </row>
    <row r="378" spans="5:13" ht="18" hidden="1" customHeight="1" x14ac:dyDescent="0.25">
      <c r="E378" s="36"/>
      <c r="F378" s="13"/>
      <c r="G378" s="13"/>
      <c r="H378" s="17"/>
      <c r="I378" s="17"/>
      <c r="J378" s="19"/>
      <c r="K378" s="19"/>
      <c r="L378" s="17"/>
      <c r="M378" s="18"/>
    </row>
    <row r="379" spans="5:13" ht="18" hidden="1" customHeight="1" x14ac:dyDescent="0.25">
      <c r="E379" s="36"/>
      <c r="F379" s="13"/>
      <c r="G379" s="13"/>
      <c r="H379" s="17"/>
      <c r="I379" s="17"/>
      <c r="J379" s="19"/>
      <c r="K379" s="19"/>
      <c r="L379" s="17"/>
      <c r="M379" s="18"/>
    </row>
    <row r="380" spans="5:13" ht="18" hidden="1" customHeight="1" x14ac:dyDescent="0.25">
      <c r="E380" s="36"/>
      <c r="F380" s="13"/>
      <c r="G380" s="13"/>
      <c r="H380" s="17"/>
      <c r="I380" s="17"/>
      <c r="J380" s="19"/>
      <c r="K380" s="19"/>
      <c r="L380" s="17"/>
      <c r="M380" s="18"/>
    </row>
    <row r="381" spans="5:13" ht="18" hidden="1" customHeight="1" x14ac:dyDescent="0.25">
      <c r="E381" s="36"/>
      <c r="F381" s="13"/>
      <c r="G381" s="13"/>
      <c r="H381" s="17"/>
      <c r="I381" s="17"/>
      <c r="J381" s="19"/>
      <c r="K381" s="19"/>
      <c r="L381" s="17"/>
      <c r="M381" s="18"/>
    </row>
    <row r="382" spans="5:13" ht="18" hidden="1" customHeight="1" x14ac:dyDescent="0.25">
      <c r="E382" s="36"/>
      <c r="F382" s="13"/>
      <c r="G382" s="13"/>
      <c r="H382" s="17"/>
      <c r="I382" s="17"/>
      <c r="J382" s="19"/>
      <c r="K382" s="19"/>
      <c r="L382" s="17"/>
      <c r="M382" s="18"/>
    </row>
    <row r="383" spans="5:13" ht="18" hidden="1" customHeight="1" x14ac:dyDescent="0.25">
      <c r="E383" s="36"/>
      <c r="F383" s="13"/>
      <c r="G383" s="13"/>
      <c r="H383" s="17"/>
      <c r="I383" s="17"/>
      <c r="J383" s="19"/>
      <c r="K383" s="19"/>
      <c r="L383" s="17"/>
      <c r="M383" s="18"/>
    </row>
    <row r="384" spans="5:13" ht="18" hidden="1" customHeight="1" x14ac:dyDescent="0.25">
      <c r="E384" s="36"/>
      <c r="F384" s="13"/>
      <c r="G384" s="13"/>
      <c r="H384" s="17"/>
      <c r="I384" s="17"/>
      <c r="J384" s="19"/>
      <c r="K384" s="19"/>
      <c r="L384" s="17"/>
      <c r="M384" s="18"/>
    </row>
    <row r="385" spans="5:13" ht="18" hidden="1" customHeight="1" x14ac:dyDescent="0.25">
      <c r="E385" s="36"/>
      <c r="F385" s="13"/>
      <c r="G385" s="13"/>
      <c r="H385" s="17"/>
      <c r="I385" s="17"/>
      <c r="J385" s="19"/>
      <c r="K385" s="19"/>
      <c r="L385" s="17"/>
      <c r="M385" s="18"/>
    </row>
    <row r="386" spans="5:13" ht="18" hidden="1" customHeight="1" x14ac:dyDescent="0.25">
      <c r="E386" s="36"/>
      <c r="F386" s="13"/>
      <c r="G386" s="13"/>
      <c r="H386" s="17"/>
      <c r="I386" s="17"/>
      <c r="J386" s="19"/>
      <c r="K386" s="19"/>
      <c r="L386" s="17"/>
      <c r="M386" s="18"/>
    </row>
    <row r="387" spans="5:13" ht="18" hidden="1" customHeight="1" x14ac:dyDescent="0.25">
      <c r="E387" s="36"/>
      <c r="F387" s="13"/>
      <c r="G387" s="13"/>
      <c r="H387" s="17"/>
      <c r="I387" s="17"/>
      <c r="J387" s="19"/>
      <c r="K387" s="19"/>
      <c r="L387" s="17"/>
      <c r="M387" s="18"/>
    </row>
    <row r="388" spans="5:13" ht="18" hidden="1" customHeight="1" x14ac:dyDescent="0.25">
      <c r="E388" s="36"/>
      <c r="F388" s="13"/>
      <c r="G388" s="13"/>
      <c r="H388" s="17"/>
      <c r="I388" s="17"/>
      <c r="J388" s="19"/>
      <c r="K388" s="19"/>
      <c r="L388" s="17"/>
      <c r="M388" s="18"/>
    </row>
    <row r="389" spans="5:13" ht="18" hidden="1" customHeight="1" x14ac:dyDescent="0.25">
      <c r="E389" s="36"/>
      <c r="F389" s="13"/>
      <c r="G389" s="13"/>
      <c r="H389" s="17"/>
      <c r="I389" s="17"/>
      <c r="J389" s="19"/>
      <c r="K389" s="19"/>
      <c r="L389" s="17"/>
      <c r="M389" s="18"/>
    </row>
    <row r="390" spans="5:13" ht="18" hidden="1" customHeight="1" x14ac:dyDescent="0.25">
      <c r="E390" s="36"/>
      <c r="F390" s="13"/>
      <c r="G390" s="13"/>
      <c r="H390" s="17"/>
      <c r="I390" s="17"/>
      <c r="J390" s="19"/>
      <c r="K390" s="19"/>
      <c r="L390" s="17"/>
      <c r="M390" s="18"/>
    </row>
    <row r="391" spans="5:13" ht="18" hidden="1" customHeight="1" x14ac:dyDescent="0.25">
      <c r="E391" s="36"/>
      <c r="F391" s="13"/>
      <c r="G391" s="13"/>
      <c r="H391" s="17"/>
      <c r="I391" s="17"/>
      <c r="J391" s="19"/>
      <c r="K391" s="19"/>
      <c r="L391" s="17"/>
      <c r="M391" s="18"/>
    </row>
    <row r="392" spans="5:13" ht="18" hidden="1" customHeight="1" x14ac:dyDescent="0.25">
      <c r="E392" s="36"/>
      <c r="F392" s="13"/>
      <c r="G392" s="13"/>
      <c r="H392" s="17"/>
      <c r="I392" s="17"/>
      <c r="J392" s="19"/>
      <c r="K392" s="19"/>
      <c r="L392" s="17"/>
      <c r="M392" s="18"/>
    </row>
    <row r="393" spans="5:13" ht="18" hidden="1" customHeight="1" x14ac:dyDescent="0.25">
      <c r="E393" s="36"/>
      <c r="F393" s="13"/>
      <c r="G393" s="13"/>
      <c r="H393" s="17"/>
      <c r="I393" s="17"/>
      <c r="J393" s="19"/>
      <c r="K393" s="19"/>
      <c r="L393" s="17"/>
      <c r="M393" s="18"/>
    </row>
    <row r="394" spans="5:13" ht="18" hidden="1" customHeight="1" x14ac:dyDescent="0.25">
      <c r="E394" s="36"/>
      <c r="F394" s="13"/>
      <c r="G394" s="13"/>
      <c r="H394" s="17"/>
      <c r="I394" s="17"/>
      <c r="J394" s="19"/>
      <c r="K394" s="19"/>
      <c r="L394" s="17"/>
      <c r="M394" s="18"/>
    </row>
    <row r="395" spans="5:13" ht="18" hidden="1" customHeight="1" x14ac:dyDescent="0.25">
      <c r="E395" s="36"/>
      <c r="F395" s="13"/>
      <c r="G395" s="13"/>
      <c r="H395" s="17"/>
      <c r="I395" s="17"/>
      <c r="J395" s="19"/>
      <c r="K395" s="19"/>
      <c r="L395" s="17"/>
      <c r="M395" s="18"/>
    </row>
    <row r="396" spans="5:13" ht="18" hidden="1" customHeight="1" x14ac:dyDescent="0.25">
      <c r="E396" s="36"/>
      <c r="F396" s="13"/>
      <c r="G396" s="13"/>
      <c r="H396" s="17"/>
      <c r="I396" s="17"/>
      <c r="J396" s="19"/>
      <c r="K396" s="19"/>
      <c r="L396" s="17"/>
      <c r="M396" s="18"/>
    </row>
    <row r="397" spans="5:13" ht="18" hidden="1" customHeight="1" x14ac:dyDescent="0.25">
      <c r="E397" s="36"/>
      <c r="F397" s="13"/>
      <c r="G397" s="13"/>
      <c r="H397" s="17"/>
      <c r="I397" s="17"/>
      <c r="J397" s="19"/>
      <c r="K397" s="19"/>
      <c r="L397" s="17"/>
      <c r="M397" s="18"/>
    </row>
    <row r="398" spans="5:13" ht="18" hidden="1" customHeight="1" x14ac:dyDescent="0.25">
      <c r="E398" s="36"/>
      <c r="F398" s="13"/>
      <c r="G398" s="13"/>
      <c r="H398" s="17"/>
      <c r="I398" s="17"/>
      <c r="J398" s="19"/>
      <c r="K398" s="19"/>
      <c r="L398" s="17"/>
      <c r="M398" s="18"/>
    </row>
    <row r="399" spans="5:13" ht="18" hidden="1" customHeight="1" x14ac:dyDescent="0.25">
      <c r="E399" s="36"/>
      <c r="F399" s="13"/>
      <c r="G399" s="13"/>
      <c r="H399" s="17"/>
      <c r="I399" s="17"/>
      <c r="J399" s="19"/>
      <c r="K399" s="19"/>
      <c r="L399" s="17"/>
      <c r="M399" s="18"/>
    </row>
    <row r="400" spans="5:13" ht="18" hidden="1" customHeight="1" x14ac:dyDescent="0.25">
      <c r="E400" s="36"/>
      <c r="F400" s="13"/>
      <c r="G400" s="13"/>
      <c r="H400" s="17"/>
      <c r="I400" s="17"/>
      <c r="J400" s="19"/>
      <c r="K400" s="19"/>
      <c r="L400" s="17"/>
      <c r="M400" s="18"/>
    </row>
    <row r="401" spans="5:13" ht="18" hidden="1" customHeight="1" x14ac:dyDescent="0.25">
      <c r="E401" s="36"/>
      <c r="F401" s="13"/>
      <c r="G401" s="13"/>
      <c r="H401" s="17"/>
      <c r="I401" s="17"/>
      <c r="J401" s="19"/>
      <c r="K401" s="19"/>
      <c r="L401" s="17"/>
      <c r="M401" s="18"/>
    </row>
    <row r="402" spans="5:13" ht="18" hidden="1" customHeight="1" x14ac:dyDescent="0.25">
      <c r="E402" s="36"/>
      <c r="F402" s="13"/>
      <c r="G402" s="13"/>
      <c r="H402" s="17"/>
      <c r="I402" s="17"/>
      <c r="J402" s="19"/>
      <c r="K402" s="19"/>
      <c r="L402" s="17"/>
      <c r="M402" s="18"/>
    </row>
    <row r="403" spans="5:13" ht="18" hidden="1" customHeight="1" x14ac:dyDescent="0.25">
      <c r="E403" s="36"/>
      <c r="F403" s="13"/>
      <c r="G403" s="13"/>
      <c r="H403" s="17"/>
      <c r="I403" s="17"/>
      <c r="J403" s="19"/>
      <c r="K403" s="19"/>
      <c r="L403" s="17"/>
      <c r="M403" s="18"/>
    </row>
    <row r="404" spans="5:13" ht="18" hidden="1" customHeight="1" x14ac:dyDescent="0.25">
      <c r="E404" s="36"/>
      <c r="F404" s="13"/>
      <c r="G404" s="13"/>
      <c r="H404" s="17"/>
      <c r="I404" s="17"/>
      <c r="J404" s="19"/>
      <c r="K404" s="19"/>
      <c r="L404" s="17"/>
      <c r="M404" s="18"/>
    </row>
    <row r="405" spans="5:13" ht="18" hidden="1" customHeight="1" x14ac:dyDescent="0.25">
      <c r="E405" s="36"/>
      <c r="F405" s="13"/>
      <c r="G405" s="13"/>
      <c r="H405" s="17"/>
      <c r="I405" s="17"/>
      <c r="J405" s="19"/>
      <c r="K405" s="19"/>
      <c r="L405" s="17"/>
      <c r="M405" s="18"/>
    </row>
    <row r="406" spans="5:13" ht="18" hidden="1" customHeight="1" x14ac:dyDescent="0.25">
      <c r="E406" s="36"/>
      <c r="F406" s="13"/>
      <c r="G406" s="13"/>
      <c r="H406" s="17"/>
      <c r="I406" s="17"/>
      <c r="J406" s="19"/>
      <c r="K406" s="19"/>
      <c r="L406" s="17"/>
      <c r="M406" s="18"/>
    </row>
    <row r="407" spans="5:13" ht="18" hidden="1" customHeight="1" x14ac:dyDescent="0.25">
      <c r="E407" s="36"/>
      <c r="F407" s="13"/>
      <c r="G407" s="13"/>
      <c r="H407" s="17"/>
      <c r="I407" s="17"/>
      <c r="J407" s="19"/>
      <c r="K407" s="19"/>
      <c r="L407" s="17"/>
      <c r="M407" s="18"/>
    </row>
    <row r="408" spans="5:13" ht="18" hidden="1" customHeight="1" x14ac:dyDescent="0.25">
      <c r="E408" s="36"/>
      <c r="F408" s="13"/>
      <c r="G408" s="13"/>
      <c r="H408" s="17"/>
      <c r="I408" s="17"/>
      <c r="J408" s="19"/>
      <c r="K408" s="19"/>
      <c r="L408" s="17"/>
      <c r="M408" s="18"/>
    </row>
    <row r="409" spans="5:13" ht="18" hidden="1" customHeight="1" x14ac:dyDescent="0.25">
      <c r="E409" s="36"/>
      <c r="F409" s="13"/>
      <c r="G409" s="13"/>
      <c r="H409" s="17"/>
      <c r="I409" s="17"/>
      <c r="J409" s="19"/>
      <c r="K409" s="19"/>
      <c r="L409" s="17"/>
      <c r="M409" s="18"/>
    </row>
    <row r="410" spans="5:13" ht="18" hidden="1" customHeight="1" x14ac:dyDescent="0.25">
      <c r="E410" s="36"/>
      <c r="F410" s="13"/>
      <c r="G410" s="13"/>
      <c r="H410" s="17"/>
      <c r="I410" s="17"/>
      <c r="J410" s="19"/>
      <c r="K410" s="19"/>
      <c r="L410" s="17"/>
      <c r="M410" s="18"/>
    </row>
    <row r="411" spans="5:13" ht="18" hidden="1" customHeight="1" x14ac:dyDescent="0.25">
      <c r="E411" s="36"/>
      <c r="F411" s="13"/>
      <c r="G411" s="13"/>
      <c r="H411" s="17"/>
      <c r="I411" s="17"/>
      <c r="J411" s="19"/>
      <c r="K411" s="19"/>
      <c r="L411" s="17"/>
      <c r="M411" s="18"/>
    </row>
    <row r="412" spans="5:13" ht="18" hidden="1" customHeight="1" x14ac:dyDescent="0.25">
      <c r="E412" s="36"/>
      <c r="F412" s="13"/>
      <c r="G412" s="13"/>
      <c r="H412" s="17"/>
      <c r="I412" s="17"/>
      <c r="J412" s="19"/>
      <c r="K412" s="19"/>
      <c r="L412" s="17"/>
      <c r="M412" s="18"/>
    </row>
    <row r="413" spans="5:13" ht="18" hidden="1" customHeight="1" x14ac:dyDescent="0.25">
      <c r="E413" s="36"/>
      <c r="F413" s="13"/>
      <c r="G413" s="13"/>
      <c r="H413" s="17"/>
      <c r="I413" s="17"/>
      <c r="J413" s="19"/>
      <c r="K413" s="19"/>
      <c r="L413" s="17"/>
      <c r="M413" s="18"/>
    </row>
    <row r="414" spans="5:13" ht="18" hidden="1" customHeight="1" x14ac:dyDescent="0.25">
      <c r="E414" s="36"/>
      <c r="F414" s="13"/>
      <c r="G414" s="13"/>
      <c r="H414" s="17"/>
      <c r="I414" s="17"/>
      <c r="J414" s="19"/>
      <c r="K414" s="19"/>
      <c r="L414" s="17"/>
      <c r="M414" s="18"/>
    </row>
    <row r="415" spans="5:13" ht="18" hidden="1" customHeight="1" x14ac:dyDescent="0.25">
      <c r="E415" s="36"/>
      <c r="F415" s="13"/>
      <c r="G415" s="13"/>
      <c r="H415" s="17"/>
      <c r="I415" s="17"/>
      <c r="J415" s="19"/>
      <c r="K415" s="19"/>
      <c r="L415" s="17"/>
      <c r="M415" s="18"/>
    </row>
    <row r="416" spans="5:13" ht="18" hidden="1" customHeight="1" x14ac:dyDescent="0.25">
      <c r="E416" s="36"/>
      <c r="F416" s="13"/>
      <c r="G416" s="13"/>
      <c r="H416" s="17"/>
      <c r="I416" s="17"/>
      <c r="J416" s="19"/>
      <c r="K416" s="19"/>
      <c r="L416" s="17"/>
      <c r="M416" s="18"/>
    </row>
    <row r="417" spans="5:13" ht="18" hidden="1" customHeight="1" x14ac:dyDescent="0.25">
      <c r="E417" s="36"/>
      <c r="F417" s="13"/>
      <c r="G417" s="13"/>
      <c r="H417" s="17"/>
      <c r="I417" s="17"/>
      <c r="J417" s="19"/>
      <c r="K417" s="19"/>
      <c r="L417" s="17"/>
      <c r="M417" s="18"/>
    </row>
    <row r="418" spans="5:13" ht="18" hidden="1" customHeight="1" x14ac:dyDescent="0.25">
      <c r="E418" s="36"/>
      <c r="F418" s="13"/>
      <c r="G418" s="13"/>
      <c r="H418" s="17"/>
      <c r="I418" s="17"/>
      <c r="J418" s="19"/>
      <c r="K418" s="19"/>
      <c r="L418" s="17"/>
      <c r="M418" s="18"/>
    </row>
    <row r="419" spans="5:13" ht="18" hidden="1" customHeight="1" x14ac:dyDescent="0.25">
      <c r="E419" s="36"/>
      <c r="F419" s="13"/>
      <c r="G419" s="13"/>
      <c r="H419" s="17"/>
      <c r="I419" s="17"/>
      <c r="J419" s="19"/>
      <c r="K419" s="19"/>
      <c r="L419" s="17"/>
      <c r="M419" s="18"/>
    </row>
    <row r="420" spans="5:13" ht="18" hidden="1" customHeight="1" x14ac:dyDescent="0.25">
      <c r="E420" s="36"/>
      <c r="F420" s="13"/>
      <c r="G420" s="13"/>
      <c r="H420" s="17"/>
      <c r="I420" s="17"/>
      <c r="J420" s="19"/>
      <c r="K420" s="19"/>
      <c r="L420" s="17"/>
      <c r="M420" s="18"/>
    </row>
    <row r="421" spans="5:13" ht="18" hidden="1" customHeight="1" x14ac:dyDescent="0.25">
      <c r="E421" s="36"/>
      <c r="F421" s="13"/>
      <c r="G421" s="13"/>
      <c r="H421" s="17"/>
      <c r="I421" s="17"/>
      <c r="J421" s="19"/>
      <c r="K421" s="19"/>
      <c r="L421" s="17"/>
      <c r="M421" s="18"/>
    </row>
    <row r="422" spans="5:13" ht="18" hidden="1" customHeight="1" x14ac:dyDescent="0.25">
      <c r="E422" s="36"/>
      <c r="F422" s="13"/>
      <c r="G422" s="13"/>
      <c r="H422" s="17"/>
      <c r="I422" s="17"/>
      <c r="J422" s="19"/>
      <c r="K422" s="19"/>
      <c r="L422" s="17"/>
      <c r="M422" s="18"/>
    </row>
    <row r="423" spans="5:13" ht="18" hidden="1" customHeight="1" x14ac:dyDescent="0.25">
      <c r="E423" s="36"/>
      <c r="F423" s="13"/>
      <c r="G423" s="13"/>
      <c r="H423" s="17"/>
      <c r="I423" s="17"/>
      <c r="J423" s="19"/>
      <c r="K423" s="19"/>
      <c r="L423" s="17"/>
      <c r="M423" s="18"/>
    </row>
    <row r="424" spans="5:13" ht="18" hidden="1" customHeight="1" x14ac:dyDescent="0.25">
      <c r="E424" s="36"/>
      <c r="F424" s="13"/>
      <c r="G424" s="13"/>
      <c r="H424" s="17"/>
      <c r="I424" s="17"/>
      <c r="J424" s="19"/>
      <c r="K424" s="19"/>
      <c r="L424" s="17"/>
      <c r="M424" s="18"/>
    </row>
    <row r="425" spans="5:13" ht="18" hidden="1" customHeight="1" x14ac:dyDescent="0.25">
      <c r="E425" s="36"/>
      <c r="F425" s="13"/>
      <c r="G425" s="13"/>
      <c r="H425" s="17"/>
      <c r="I425" s="17"/>
      <c r="J425" s="19"/>
      <c r="K425" s="19"/>
      <c r="L425" s="17"/>
      <c r="M425" s="18"/>
    </row>
    <row r="426" spans="5:13" ht="18" hidden="1" customHeight="1" x14ac:dyDescent="0.25">
      <c r="E426" s="36"/>
      <c r="F426" s="13"/>
      <c r="G426" s="13"/>
      <c r="H426" s="17"/>
      <c r="I426" s="17"/>
      <c r="J426" s="19"/>
      <c r="K426" s="19"/>
      <c r="L426" s="17"/>
      <c r="M426" s="18"/>
    </row>
    <row r="427" spans="5:13" ht="18" hidden="1" customHeight="1" x14ac:dyDescent="0.25">
      <c r="E427" s="36"/>
      <c r="F427" s="13"/>
      <c r="G427" s="20"/>
      <c r="H427" s="21"/>
      <c r="I427" s="21"/>
      <c r="J427" s="22"/>
      <c r="K427" s="22"/>
      <c r="L427" s="17"/>
      <c r="M427" s="23"/>
    </row>
    <row r="428" spans="5:13" ht="18" hidden="1" customHeight="1" x14ac:dyDescent="0.25">
      <c r="E428" s="36"/>
      <c r="F428" s="13"/>
      <c r="G428" s="13"/>
      <c r="H428" s="17"/>
      <c r="I428" s="17"/>
      <c r="J428" s="19"/>
      <c r="K428" s="19"/>
      <c r="L428" s="17"/>
      <c r="M428" s="18"/>
    </row>
    <row r="429" spans="5:13" ht="18" hidden="1" customHeight="1" x14ac:dyDescent="0.25">
      <c r="E429" s="36"/>
      <c r="F429" s="13"/>
      <c r="G429" s="13"/>
      <c r="H429" s="17"/>
      <c r="I429" s="17"/>
      <c r="J429" s="19"/>
      <c r="K429" s="19"/>
      <c r="L429" s="17"/>
      <c r="M429" s="18"/>
    </row>
    <row r="430" spans="5:13" ht="18" hidden="1" customHeight="1" x14ac:dyDescent="0.25">
      <c r="E430" s="36"/>
      <c r="F430" s="13"/>
      <c r="G430" s="13"/>
      <c r="H430" s="17"/>
      <c r="I430" s="17"/>
      <c r="J430" s="19"/>
      <c r="K430" s="19"/>
      <c r="L430" s="17"/>
      <c r="M430" s="18"/>
    </row>
    <row r="431" spans="5:13" ht="18" hidden="1" customHeight="1" x14ac:dyDescent="0.25">
      <c r="E431" s="36"/>
      <c r="F431" s="13"/>
      <c r="G431" s="13"/>
      <c r="H431" s="17"/>
      <c r="I431" s="17"/>
      <c r="J431" s="19"/>
      <c r="K431" s="19"/>
      <c r="L431" s="17"/>
      <c r="M431" s="18"/>
    </row>
    <row r="432" spans="5:13" ht="18" hidden="1" customHeight="1" x14ac:dyDescent="0.25">
      <c r="E432" s="36"/>
      <c r="F432" s="13"/>
      <c r="G432" s="13"/>
      <c r="H432" s="17"/>
      <c r="I432" s="17"/>
      <c r="J432" s="19"/>
      <c r="K432" s="19"/>
      <c r="L432" s="17"/>
      <c r="M432" s="18"/>
    </row>
    <row r="433" spans="5:13" ht="18" hidden="1" customHeight="1" x14ac:dyDescent="0.25">
      <c r="E433" s="36"/>
      <c r="F433" s="13"/>
      <c r="G433" s="13"/>
      <c r="H433" s="17"/>
      <c r="I433" s="17"/>
      <c r="J433" s="19"/>
      <c r="K433" s="19"/>
      <c r="L433" s="17"/>
      <c r="M433" s="18"/>
    </row>
    <row r="434" spans="5:13" ht="18" hidden="1" customHeight="1" x14ac:dyDescent="0.25">
      <c r="E434" s="36"/>
      <c r="F434" s="13"/>
      <c r="G434" s="13"/>
      <c r="H434" s="17"/>
      <c r="I434" s="17"/>
      <c r="J434" s="19"/>
      <c r="K434" s="19"/>
      <c r="L434" s="17"/>
      <c r="M434" s="18"/>
    </row>
    <row r="435" spans="5:13" ht="18" hidden="1" customHeight="1" x14ac:dyDescent="0.25">
      <c r="E435" s="36"/>
      <c r="F435" s="13"/>
      <c r="G435" s="13"/>
      <c r="H435" s="17"/>
      <c r="I435" s="17"/>
      <c r="J435" s="19"/>
      <c r="K435" s="19"/>
      <c r="L435" s="17"/>
      <c r="M435" s="18"/>
    </row>
    <row r="436" spans="5:13" ht="18" hidden="1" customHeight="1" x14ac:dyDescent="0.25">
      <c r="E436" s="36"/>
      <c r="F436" s="13"/>
      <c r="G436" s="13"/>
      <c r="H436" s="17"/>
      <c r="I436" s="17"/>
      <c r="J436" s="19"/>
      <c r="K436" s="19"/>
      <c r="L436" s="17"/>
      <c r="M436" s="18"/>
    </row>
    <row r="437" spans="5:13" ht="18" hidden="1" customHeight="1" x14ac:dyDescent="0.25">
      <c r="E437" s="36"/>
      <c r="F437" s="13"/>
      <c r="G437" s="13"/>
      <c r="H437" s="17"/>
      <c r="I437" s="17"/>
      <c r="J437" s="19"/>
      <c r="K437" s="19"/>
      <c r="L437" s="17"/>
      <c r="M437" s="18"/>
    </row>
    <row r="438" spans="5:13" ht="18" hidden="1" customHeight="1" x14ac:dyDescent="0.25">
      <c r="E438" s="36"/>
      <c r="F438" s="13"/>
      <c r="G438" s="13"/>
      <c r="H438" s="17"/>
      <c r="I438" s="17"/>
      <c r="J438" s="19"/>
      <c r="K438" s="19"/>
      <c r="L438" s="17"/>
      <c r="M438" s="18"/>
    </row>
    <row r="439" spans="5:13" ht="18" hidden="1" customHeight="1" x14ac:dyDescent="0.25">
      <c r="E439" s="36"/>
      <c r="F439" s="13"/>
      <c r="G439" s="13"/>
      <c r="H439" s="17"/>
      <c r="I439" s="17"/>
      <c r="J439" s="19"/>
      <c r="K439" s="19"/>
      <c r="L439" s="17"/>
      <c r="M439" s="18"/>
    </row>
    <row r="440" spans="5:13" ht="18" hidden="1" customHeight="1" x14ac:dyDescent="0.25">
      <c r="E440" s="36"/>
      <c r="F440" s="13"/>
      <c r="G440" s="13"/>
      <c r="H440" s="17"/>
      <c r="I440" s="17"/>
      <c r="J440" s="19"/>
      <c r="K440" s="19"/>
      <c r="L440" s="17"/>
      <c r="M440" s="18"/>
    </row>
    <row r="441" spans="5:13" ht="18" hidden="1" customHeight="1" x14ac:dyDescent="0.25">
      <c r="E441" s="36"/>
      <c r="F441" s="13"/>
      <c r="G441" s="13"/>
      <c r="H441" s="17"/>
      <c r="I441" s="17"/>
      <c r="J441" s="19"/>
      <c r="K441" s="19"/>
      <c r="L441" s="17"/>
      <c r="M441" s="18"/>
    </row>
    <row r="442" spans="5:13" ht="18" hidden="1" customHeight="1" x14ac:dyDescent="0.25">
      <c r="E442" s="36"/>
      <c r="F442" s="13"/>
      <c r="G442" s="13"/>
      <c r="H442" s="17"/>
      <c r="I442" s="17"/>
      <c r="J442" s="19"/>
      <c r="K442" s="19"/>
      <c r="L442" s="17"/>
      <c r="M442" s="18"/>
    </row>
    <row r="443" spans="5:13" ht="18" hidden="1" customHeight="1" x14ac:dyDescent="0.25">
      <c r="E443" s="36"/>
      <c r="F443" s="13"/>
      <c r="G443" s="13"/>
      <c r="H443" s="17"/>
      <c r="I443" s="17"/>
      <c r="J443" s="19"/>
      <c r="K443" s="19"/>
      <c r="L443" s="17"/>
      <c r="M443" s="18"/>
    </row>
    <row r="444" spans="5:13" ht="18" hidden="1" customHeight="1" x14ac:dyDescent="0.25">
      <c r="E444" s="36"/>
      <c r="F444" s="13"/>
      <c r="G444" s="13"/>
      <c r="H444" s="17"/>
      <c r="I444" s="17"/>
      <c r="J444" s="19"/>
      <c r="K444" s="19"/>
      <c r="L444" s="17"/>
      <c r="M444" s="18"/>
    </row>
    <row r="445" spans="5:13" ht="18" hidden="1" customHeight="1" x14ac:dyDescent="0.25">
      <c r="E445" s="36"/>
      <c r="F445" s="13"/>
      <c r="G445" s="13"/>
      <c r="H445" s="17"/>
      <c r="I445" s="17"/>
      <c r="J445" s="19"/>
      <c r="K445" s="19"/>
      <c r="L445" s="17"/>
      <c r="M445" s="18"/>
    </row>
    <row r="446" spans="5:13" ht="18" hidden="1" customHeight="1" x14ac:dyDescent="0.25">
      <c r="E446" s="36"/>
      <c r="F446" s="13"/>
      <c r="G446" s="13"/>
      <c r="H446" s="17"/>
      <c r="I446" s="17"/>
      <c r="J446" s="19"/>
      <c r="K446" s="19"/>
      <c r="L446" s="17"/>
      <c r="M446" s="18"/>
    </row>
    <row r="447" spans="5:13" ht="18" hidden="1" customHeight="1" x14ac:dyDescent="0.25">
      <c r="E447" s="36"/>
      <c r="F447" s="13"/>
      <c r="G447" s="13"/>
      <c r="H447" s="17"/>
      <c r="I447" s="17"/>
      <c r="J447" s="19"/>
      <c r="K447" s="19"/>
      <c r="L447" s="17"/>
      <c r="M447" s="18"/>
    </row>
    <row r="448" spans="5:13" ht="18" hidden="1" customHeight="1" x14ac:dyDescent="0.25">
      <c r="E448" s="36"/>
      <c r="F448" s="13"/>
      <c r="G448" s="13"/>
      <c r="H448" s="17"/>
      <c r="I448" s="17"/>
      <c r="J448" s="19"/>
      <c r="K448" s="19"/>
      <c r="L448" s="17"/>
      <c r="M448" s="18"/>
    </row>
    <row r="449" spans="5:13" ht="18" hidden="1" customHeight="1" x14ac:dyDescent="0.25">
      <c r="E449" s="36"/>
      <c r="F449" s="13"/>
      <c r="G449" s="13"/>
      <c r="H449" s="17"/>
      <c r="I449" s="17"/>
      <c r="J449" s="19"/>
      <c r="K449" s="19"/>
      <c r="L449" s="17"/>
      <c r="M449" s="18"/>
    </row>
    <row r="450" spans="5:13" ht="18" hidden="1" customHeight="1" x14ac:dyDescent="0.25">
      <c r="E450" s="36"/>
      <c r="F450" s="13"/>
      <c r="G450" s="13"/>
      <c r="H450" s="17"/>
      <c r="I450" s="17"/>
      <c r="J450" s="19"/>
      <c r="K450" s="19"/>
      <c r="L450" s="17"/>
      <c r="M450" s="18"/>
    </row>
    <row r="451" spans="5:13" ht="18" hidden="1" customHeight="1" x14ac:dyDescent="0.25">
      <c r="E451" s="36"/>
      <c r="F451" s="13"/>
      <c r="G451" s="13"/>
      <c r="H451" s="17"/>
      <c r="I451" s="17"/>
      <c r="J451" s="19"/>
      <c r="K451" s="19"/>
      <c r="L451" s="17"/>
      <c r="M451" s="18"/>
    </row>
    <row r="452" spans="5:13" ht="18" hidden="1" customHeight="1" x14ac:dyDescent="0.25">
      <c r="E452" s="36"/>
      <c r="F452" s="13"/>
      <c r="G452" s="13"/>
      <c r="H452" s="17"/>
      <c r="I452" s="17"/>
      <c r="J452" s="19"/>
      <c r="K452" s="19"/>
      <c r="L452" s="17"/>
      <c r="M452" s="18"/>
    </row>
    <row r="453" spans="5:13" ht="18" hidden="1" customHeight="1" x14ac:dyDescent="0.25">
      <c r="E453" s="36"/>
      <c r="F453" s="13"/>
      <c r="G453" s="13"/>
      <c r="H453" s="17"/>
      <c r="I453" s="17"/>
      <c r="J453" s="19"/>
      <c r="K453" s="19"/>
      <c r="L453" s="17"/>
      <c r="M453" s="18"/>
    </row>
    <row r="454" spans="5:13" ht="18" hidden="1" customHeight="1" x14ac:dyDescent="0.25">
      <c r="E454" s="36"/>
      <c r="F454" s="13"/>
      <c r="G454" s="13"/>
      <c r="H454" s="17"/>
      <c r="I454" s="17"/>
      <c r="J454" s="19"/>
      <c r="K454" s="19"/>
      <c r="L454" s="17"/>
      <c r="M454" s="18"/>
    </row>
    <row r="455" spans="5:13" ht="18" hidden="1" customHeight="1" x14ac:dyDescent="0.25">
      <c r="E455" s="36"/>
      <c r="F455" s="13"/>
      <c r="G455" s="13"/>
      <c r="H455" s="17"/>
      <c r="I455" s="17"/>
      <c r="J455" s="19"/>
      <c r="K455" s="19"/>
      <c r="L455" s="17"/>
      <c r="M455" s="18"/>
    </row>
    <row r="456" spans="5:13" ht="18" hidden="1" customHeight="1" x14ac:dyDescent="0.25">
      <c r="E456" s="36"/>
      <c r="F456" s="13"/>
      <c r="G456" s="13"/>
      <c r="H456" s="17"/>
      <c r="I456" s="17"/>
      <c r="J456" s="19"/>
      <c r="K456" s="19"/>
      <c r="L456" s="17"/>
      <c r="M456" s="18"/>
    </row>
    <row r="457" spans="5:13" ht="18" hidden="1" customHeight="1" x14ac:dyDescent="0.25">
      <c r="E457" s="36"/>
      <c r="F457" s="13"/>
      <c r="G457" s="13"/>
      <c r="H457" s="17"/>
      <c r="I457" s="17"/>
      <c r="J457" s="19"/>
      <c r="K457" s="19"/>
      <c r="L457" s="17"/>
      <c r="M457" s="18"/>
    </row>
    <row r="458" spans="5:13" ht="18" hidden="1" customHeight="1" x14ac:dyDescent="0.25">
      <c r="E458" s="36"/>
      <c r="F458" s="13"/>
      <c r="G458" s="13"/>
      <c r="H458" s="17"/>
      <c r="I458" s="17"/>
      <c r="J458" s="19"/>
      <c r="K458" s="19"/>
      <c r="L458" s="17"/>
      <c r="M458" s="18"/>
    </row>
    <row r="459" spans="5:13" ht="18" hidden="1" customHeight="1" x14ac:dyDescent="0.25">
      <c r="E459" s="36"/>
      <c r="F459" s="13"/>
      <c r="G459" s="13"/>
      <c r="H459" s="17"/>
      <c r="I459" s="17"/>
      <c r="J459" s="19"/>
      <c r="K459" s="19"/>
      <c r="L459" s="17"/>
      <c r="M459" s="18"/>
    </row>
    <row r="460" spans="5:13" ht="18" hidden="1" customHeight="1" x14ac:dyDescent="0.25">
      <c r="E460" s="36"/>
      <c r="F460" s="13"/>
      <c r="G460" s="13"/>
      <c r="H460" s="17"/>
      <c r="I460" s="17"/>
      <c r="J460" s="19"/>
      <c r="K460" s="19"/>
      <c r="L460" s="17"/>
      <c r="M460" s="18"/>
    </row>
    <row r="461" spans="5:13" ht="18" hidden="1" customHeight="1" x14ac:dyDescent="0.25">
      <c r="E461" s="36"/>
      <c r="F461" s="13"/>
      <c r="G461" s="13"/>
      <c r="H461" s="17"/>
      <c r="I461" s="17"/>
      <c r="J461" s="19"/>
      <c r="K461" s="19"/>
      <c r="L461" s="17"/>
      <c r="M461" s="18"/>
    </row>
    <row r="462" spans="5:13" ht="18" hidden="1" customHeight="1" x14ac:dyDescent="0.25">
      <c r="E462" s="36"/>
      <c r="F462" s="13"/>
      <c r="G462" s="13"/>
      <c r="H462" s="17"/>
      <c r="I462" s="17"/>
      <c r="J462" s="19"/>
      <c r="K462" s="19"/>
      <c r="L462" s="17"/>
      <c r="M462" s="18"/>
    </row>
    <row r="463" spans="5:13" ht="18" hidden="1" customHeight="1" x14ac:dyDescent="0.25">
      <c r="E463" s="36"/>
      <c r="F463" s="13"/>
      <c r="G463" s="13"/>
      <c r="H463" s="17"/>
      <c r="I463" s="17"/>
      <c r="J463" s="19"/>
      <c r="K463" s="19"/>
      <c r="L463" s="17"/>
      <c r="M463" s="18"/>
    </row>
    <row r="464" spans="5:13" ht="18" hidden="1" customHeight="1" x14ac:dyDescent="0.25">
      <c r="E464" s="36"/>
      <c r="F464" s="13"/>
      <c r="G464" s="13"/>
      <c r="H464" s="17"/>
      <c r="I464" s="17"/>
      <c r="J464" s="19"/>
      <c r="K464" s="19"/>
      <c r="L464" s="17"/>
      <c r="M464" s="18"/>
    </row>
    <row r="465" spans="5:13" ht="18" hidden="1" customHeight="1" x14ac:dyDescent="0.25">
      <c r="E465" s="36"/>
      <c r="F465" s="13"/>
      <c r="G465" s="13"/>
      <c r="H465" s="17"/>
      <c r="I465" s="17"/>
      <c r="J465" s="19"/>
      <c r="K465" s="19"/>
      <c r="L465" s="17"/>
      <c r="M465" s="18"/>
    </row>
    <row r="466" spans="5:13" ht="18" hidden="1" customHeight="1" x14ac:dyDescent="0.25">
      <c r="E466" s="36"/>
      <c r="F466" s="13"/>
      <c r="G466" s="13"/>
      <c r="H466" s="17"/>
      <c r="I466" s="17"/>
      <c r="J466" s="19"/>
      <c r="K466" s="19"/>
      <c r="L466" s="17"/>
      <c r="M466" s="18"/>
    </row>
    <row r="467" spans="5:13" ht="18" hidden="1" customHeight="1" x14ac:dyDescent="0.25">
      <c r="E467" s="36"/>
      <c r="F467" s="13"/>
      <c r="G467" s="13"/>
      <c r="H467" s="17"/>
      <c r="I467" s="17"/>
      <c r="J467" s="19"/>
      <c r="K467" s="19"/>
      <c r="L467" s="17"/>
      <c r="M467" s="18"/>
    </row>
    <row r="468" spans="5:13" ht="18" hidden="1" customHeight="1" x14ac:dyDescent="0.25">
      <c r="E468" s="36"/>
      <c r="F468" s="13"/>
      <c r="G468" s="13"/>
      <c r="H468" s="17"/>
      <c r="I468" s="17"/>
      <c r="J468" s="19"/>
      <c r="K468" s="19"/>
      <c r="L468" s="17"/>
      <c r="M468" s="18"/>
    </row>
    <row r="469" spans="5:13" ht="18" hidden="1" customHeight="1" x14ac:dyDescent="0.25">
      <c r="E469" s="36"/>
      <c r="F469" s="13"/>
      <c r="G469" s="13"/>
      <c r="H469" s="17"/>
      <c r="I469" s="17"/>
      <c r="J469" s="19"/>
      <c r="K469" s="19"/>
      <c r="L469" s="17"/>
      <c r="M469" s="18"/>
    </row>
    <row r="470" spans="5:13" ht="18" hidden="1" customHeight="1" x14ac:dyDescent="0.25">
      <c r="E470" s="36"/>
      <c r="F470" s="13"/>
      <c r="G470" s="13"/>
      <c r="H470" s="17"/>
      <c r="I470" s="17"/>
      <c r="J470" s="19"/>
      <c r="K470" s="19"/>
      <c r="L470" s="17"/>
      <c r="M470" s="18"/>
    </row>
    <row r="471" spans="5:13" ht="18" hidden="1" customHeight="1" x14ac:dyDescent="0.25">
      <c r="E471" s="36"/>
      <c r="F471" s="13"/>
      <c r="G471" s="13"/>
      <c r="H471" s="17"/>
      <c r="I471" s="17"/>
      <c r="J471" s="19"/>
      <c r="K471" s="19"/>
      <c r="L471" s="17"/>
      <c r="M471" s="18"/>
    </row>
    <row r="472" spans="5:13" ht="18" hidden="1" customHeight="1" x14ac:dyDescent="0.25">
      <c r="E472" s="36"/>
      <c r="F472" s="13"/>
      <c r="G472" s="13"/>
      <c r="H472" s="17"/>
      <c r="I472" s="17"/>
      <c r="J472" s="19"/>
      <c r="K472" s="19"/>
      <c r="L472" s="17"/>
      <c r="M472" s="18"/>
    </row>
    <row r="473" spans="5:13" ht="18" hidden="1" customHeight="1" x14ac:dyDescent="0.25">
      <c r="E473" s="36"/>
      <c r="F473" s="13"/>
      <c r="G473" s="13"/>
      <c r="H473" s="17"/>
      <c r="I473" s="17"/>
      <c r="J473" s="19"/>
      <c r="K473" s="19"/>
      <c r="L473" s="17"/>
      <c r="M473" s="18"/>
    </row>
    <row r="474" spans="5:13" ht="18" hidden="1" customHeight="1" x14ac:dyDescent="0.25">
      <c r="E474" s="36"/>
      <c r="F474" s="13"/>
      <c r="G474" s="13"/>
      <c r="H474" s="17"/>
      <c r="I474" s="17"/>
      <c r="J474" s="19"/>
      <c r="K474" s="19"/>
      <c r="L474" s="17"/>
      <c r="M474" s="18"/>
    </row>
    <row r="475" spans="5:13" ht="18" hidden="1" customHeight="1" x14ac:dyDescent="0.25">
      <c r="E475" s="36"/>
      <c r="F475" s="13"/>
      <c r="G475" s="13"/>
      <c r="H475" s="17"/>
      <c r="I475" s="17"/>
      <c r="J475" s="19"/>
      <c r="K475" s="19"/>
      <c r="L475" s="17"/>
      <c r="M475" s="18"/>
    </row>
    <row r="476" spans="5:13" ht="18" hidden="1" customHeight="1" x14ac:dyDescent="0.25">
      <c r="E476" s="36"/>
      <c r="F476" s="13"/>
      <c r="G476" s="13"/>
      <c r="H476" s="17"/>
      <c r="I476" s="17"/>
      <c r="J476" s="19"/>
      <c r="K476" s="19"/>
      <c r="L476" s="17"/>
      <c r="M476" s="18"/>
    </row>
    <row r="477" spans="5:13" ht="18" hidden="1" customHeight="1" x14ac:dyDescent="0.25">
      <c r="E477" s="36"/>
      <c r="F477" s="13"/>
      <c r="G477" s="20"/>
      <c r="H477" s="21"/>
      <c r="I477" s="21"/>
      <c r="J477" s="22"/>
      <c r="K477" s="22"/>
      <c r="L477" s="17"/>
      <c r="M477" s="23"/>
    </row>
    <row r="478" spans="5:13" ht="18" hidden="1" customHeight="1" x14ac:dyDescent="0.25">
      <c r="E478" s="37"/>
      <c r="F478" s="28"/>
      <c r="G478" s="28"/>
      <c r="H478" s="29"/>
      <c r="I478" s="29"/>
      <c r="J478" s="30"/>
      <c r="K478" s="30"/>
      <c r="L478" s="29"/>
      <c r="M478" s="31"/>
    </row>
    <row r="479" spans="5:13" hidden="1" x14ac:dyDescent="0.25">
      <c r="E479" s="37"/>
      <c r="F479" s="28"/>
      <c r="G479" s="28"/>
      <c r="H479" s="29"/>
      <c r="I479" s="29"/>
      <c r="J479" s="30"/>
      <c r="K479" s="30"/>
      <c r="L479" s="29"/>
      <c r="M479" s="31"/>
    </row>
    <row r="480" spans="5:13" hidden="1" x14ac:dyDescent="0.25">
      <c r="E480" s="37"/>
      <c r="F480" s="28"/>
      <c r="G480" s="28"/>
      <c r="H480" s="29"/>
      <c r="I480" s="29"/>
      <c r="J480" s="30"/>
      <c r="K480" s="30"/>
      <c r="L480" s="29"/>
      <c r="M480" s="31"/>
    </row>
    <row r="481" spans="5:13" hidden="1" x14ac:dyDescent="0.25">
      <c r="E481" s="37"/>
      <c r="F481" s="28"/>
      <c r="G481" s="28"/>
      <c r="H481" s="29"/>
      <c r="I481" s="29"/>
      <c r="J481" s="30"/>
      <c r="K481" s="30"/>
      <c r="L481" s="29"/>
      <c r="M481" s="31"/>
    </row>
    <row r="482" spans="5:13" hidden="1" x14ac:dyDescent="0.25">
      <c r="E482" s="37"/>
      <c r="F482" s="28"/>
      <c r="G482" s="28"/>
      <c r="H482" s="29"/>
      <c r="I482" s="29"/>
      <c r="J482" s="30"/>
      <c r="K482" s="30"/>
      <c r="L482" s="29"/>
      <c r="M482" s="31"/>
    </row>
    <row r="483" spans="5:13" hidden="1" x14ac:dyDescent="0.25">
      <c r="E483" s="37"/>
      <c r="F483" s="28"/>
      <c r="G483" s="28"/>
      <c r="H483" s="29"/>
      <c r="I483" s="29"/>
      <c r="J483" s="30"/>
      <c r="K483" s="30"/>
      <c r="L483" s="29"/>
      <c r="M483" s="31"/>
    </row>
    <row r="484" spans="5:13" hidden="1" x14ac:dyDescent="0.25">
      <c r="E484" s="37"/>
      <c r="F484" s="28"/>
      <c r="G484" s="28"/>
      <c r="H484" s="29"/>
      <c r="I484" s="29"/>
      <c r="J484" s="30"/>
      <c r="K484" s="30"/>
      <c r="L484" s="29"/>
      <c r="M484" s="31"/>
    </row>
    <row r="485" spans="5:13" hidden="1" x14ac:dyDescent="0.25">
      <c r="E485" s="37"/>
      <c r="F485" s="28"/>
      <c r="G485" s="28"/>
      <c r="H485" s="29"/>
      <c r="I485" s="29"/>
      <c r="J485" s="30"/>
      <c r="K485" s="30"/>
      <c r="L485" s="29"/>
      <c r="M485" s="31"/>
    </row>
    <row r="486" spans="5:13" hidden="1" x14ac:dyDescent="0.25">
      <c r="E486" s="37"/>
      <c r="F486" s="28"/>
      <c r="G486" s="28"/>
      <c r="H486" s="29"/>
      <c r="I486" s="29"/>
      <c r="J486" s="30"/>
      <c r="K486" s="30"/>
      <c r="L486" s="29"/>
      <c r="M486" s="31"/>
    </row>
    <row r="487" spans="5:13" hidden="1" x14ac:dyDescent="0.25">
      <c r="E487" s="37"/>
      <c r="F487" s="28"/>
      <c r="G487" s="28"/>
      <c r="H487" s="29"/>
      <c r="I487" s="29"/>
      <c r="J487" s="30"/>
      <c r="K487" s="30"/>
      <c r="L487" s="29"/>
      <c r="M487" s="31"/>
    </row>
    <row r="488" spans="5:13" hidden="1" x14ac:dyDescent="0.25">
      <c r="E488" s="37"/>
      <c r="F488" s="28"/>
      <c r="G488" s="28"/>
      <c r="H488" s="29"/>
      <c r="I488" s="29"/>
      <c r="J488" s="30"/>
      <c r="K488" s="30"/>
      <c r="L488" s="29"/>
      <c r="M488" s="31"/>
    </row>
    <row r="489" spans="5:13" hidden="1" x14ac:dyDescent="0.25">
      <c r="E489" s="37"/>
      <c r="F489" s="28"/>
      <c r="G489" s="28"/>
      <c r="H489" s="29"/>
      <c r="I489" s="29"/>
      <c r="J489" s="30"/>
      <c r="K489" s="30"/>
      <c r="L489" s="29"/>
      <c r="M489" s="31"/>
    </row>
    <row r="490" spans="5:13" hidden="1" x14ac:dyDescent="0.25">
      <c r="E490" s="37"/>
      <c r="F490" s="28"/>
      <c r="G490" s="28"/>
      <c r="H490" s="29"/>
      <c r="I490" s="29"/>
      <c r="J490" s="30"/>
      <c r="K490" s="30"/>
      <c r="L490" s="29"/>
      <c r="M490" s="31"/>
    </row>
    <row r="491" spans="5:13" hidden="1" x14ac:dyDescent="0.25">
      <c r="E491" s="37"/>
      <c r="F491" s="28"/>
      <c r="G491" s="28"/>
      <c r="H491" s="29"/>
      <c r="I491" s="29"/>
      <c r="J491" s="30"/>
      <c r="K491" s="30"/>
      <c r="L491" s="29"/>
      <c r="M491" s="31"/>
    </row>
    <row r="492" spans="5:13" hidden="1" x14ac:dyDescent="0.25">
      <c r="E492" s="37"/>
      <c r="F492" s="28"/>
      <c r="G492" s="28"/>
      <c r="H492" s="29"/>
      <c r="I492" s="29"/>
      <c r="J492" s="30"/>
      <c r="K492" s="30"/>
      <c r="L492" s="29"/>
      <c r="M492" s="31"/>
    </row>
    <row r="493" spans="5:13" hidden="1" x14ac:dyDescent="0.25">
      <c r="E493" s="37"/>
      <c r="F493" s="28"/>
      <c r="G493" s="28"/>
      <c r="H493" s="29"/>
      <c r="I493" s="29"/>
      <c r="J493" s="30"/>
      <c r="K493" s="30"/>
      <c r="L493" s="29"/>
      <c r="M493" s="31"/>
    </row>
    <row r="494" spans="5:13" hidden="1" x14ac:dyDescent="0.25">
      <c r="E494" s="37"/>
      <c r="F494" s="28"/>
      <c r="G494" s="28"/>
      <c r="H494" s="29"/>
      <c r="I494" s="29"/>
      <c r="J494" s="30"/>
      <c r="K494" s="30"/>
      <c r="L494" s="29"/>
      <c r="M494" s="31"/>
    </row>
    <row r="495" spans="5:13" hidden="1" x14ac:dyDescent="0.25">
      <c r="E495" s="37"/>
      <c r="F495" s="28"/>
      <c r="G495" s="28"/>
      <c r="H495" s="29"/>
      <c r="I495" s="29"/>
      <c r="J495" s="30"/>
      <c r="K495" s="30"/>
      <c r="L495" s="29"/>
      <c r="M495" s="31"/>
    </row>
    <row r="496" spans="5:13" hidden="1" x14ac:dyDescent="0.25">
      <c r="E496" s="37"/>
      <c r="F496" s="28"/>
      <c r="G496" s="28"/>
      <c r="H496" s="29"/>
      <c r="I496" s="29"/>
      <c r="J496" s="30"/>
      <c r="K496" s="30"/>
      <c r="L496" s="29"/>
      <c r="M496" s="31"/>
    </row>
    <row r="497" spans="5:13" hidden="1" x14ac:dyDescent="0.25">
      <c r="E497" s="37"/>
      <c r="F497" s="28"/>
      <c r="G497" s="28"/>
      <c r="H497" s="29"/>
      <c r="I497" s="29"/>
      <c r="J497" s="30"/>
      <c r="K497" s="30"/>
      <c r="L497" s="29"/>
      <c r="M497" s="31"/>
    </row>
    <row r="498" spans="5:13" hidden="1" x14ac:dyDescent="0.25">
      <c r="E498" s="37"/>
      <c r="F498" s="28"/>
      <c r="G498" s="28"/>
      <c r="H498" s="29"/>
      <c r="I498" s="29"/>
      <c r="J498" s="30"/>
      <c r="K498" s="30"/>
      <c r="L498" s="29"/>
      <c r="M498" s="31"/>
    </row>
    <row r="499" spans="5:13" hidden="1" x14ac:dyDescent="0.25">
      <c r="E499" s="37"/>
      <c r="F499" s="28"/>
      <c r="G499" s="28"/>
      <c r="H499" s="29"/>
      <c r="I499" s="29"/>
      <c r="J499" s="30"/>
      <c r="K499" s="30"/>
      <c r="L499" s="29"/>
      <c r="M499" s="31"/>
    </row>
    <row r="500" spans="5:13" hidden="1" x14ac:dyDescent="0.25">
      <c r="E500" s="37"/>
      <c r="F500" s="28"/>
      <c r="G500" s="28"/>
      <c r="H500" s="29"/>
      <c r="I500" s="29"/>
      <c r="J500" s="30"/>
      <c r="K500" s="30"/>
      <c r="L500" s="29"/>
      <c r="M500" s="31"/>
    </row>
    <row r="501" spans="5:13" hidden="1" x14ac:dyDescent="0.25">
      <c r="E501" s="37"/>
      <c r="F501" s="28"/>
      <c r="G501" s="28"/>
      <c r="H501" s="29"/>
      <c r="I501" s="29"/>
      <c r="J501" s="30"/>
      <c r="K501" s="30"/>
      <c r="L501" s="29"/>
      <c r="M501" s="31"/>
    </row>
    <row r="502" spans="5:13" hidden="1" x14ac:dyDescent="0.25">
      <c r="E502" s="37"/>
      <c r="F502" s="28"/>
      <c r="G502" s="28"/>
      <c r="H502" s="29"/>
      <c r="I502" s="29"/>
      <c r="J502" s="30"/>
      <c r="K502" s="30"/>
      <c r="L502" s="29"/>
      <c r="M502" s="31"/>
    </row>
    <row r="503" spans="5:13" hidden="1" x14ac:dyDescent="0.25">
      <c r="E503" s="37"/>
      <c r="F503" s="28"/>
      <c r="G503" s="28"/>
      <c r="H503" s="29"/>
      <c r="I503" s="29"/>
      <c r="J503" s="30"/>
      <c r="K503" s="30"/>
      <c r="L503" s="29"/>
      <c r="M503" s="31"/>
    </row>
    <row r="504" spans="5:13" hidden="1" x14ac:dyDescent="0.25">
      <c r="E504" s="37"/>
      <c r="F504" s="28"/>
      <c r="G504" s="28"/>
      <c r="H504" s="29"/>
      <c r="I504" s="29"/>
      <c r="J504" s="30"/>
      <c r="K504" s="30"/>
      <c r="L504" s="29"/>
      <c r="M504" s="31"/>
    </row>
    <row r="505" spans="5:13" hidden="1" x14ac:dyDescent="0.25">
      <c r="E505" s="37"/>
      <c r="F505" s="28"/>
      <c r="G505" s="28"/>
      <c r="H505" s="29"/>
      <c r="I505" s="29"/>
      <c r="J505" s="30"/>
      <c r="K505" s="30"/>
      <c r="L505" s="29"/>
      <c r="M505" s="31"/>
    </row>
    <row r="506" spans="5:13" hidden="1" x14ac:dyDescent="0.25">
      <c r="E506" s="37"/>
      <c r="F506" s="28"/>
      <c r="G506" s="28"/>
      <c r="H506" s="29"/>
      <c r="I506" s="29"/>
      <c r="J506" s="30"/>
      <c r="K506" s="30"/>
      <c r="L506" s="29"/>
      <c r="M506" s="31"/>
    </row>
    <row r="507" spans="5:13" hidden="1" x14ac:dyDescent="0.25">
      <c r="E507" s="37"/>
      <c r="F507" s="28"/>
      <c r="G507" s="28"/>
      <c r="H507" s="29"/>
      <c r="I507" s="29"/>
      <c r="J507" s="30"/>
      <c r="K507" s="30"/>
      <c r="L507" s="29"/>
      <c r="M507" s="31"/>
    </row>
    <row r="508" spans="5:13" hidden="1" x14ac:dyDescent="0.25">
      <c r="E508" s="37"/>
      <c r="F508" s="28"/>
      <c r="G508" s="28"/>
      <c r="H508" s="29"/>
      <c r="I508" s="29"/>
      <c r="J508" s="30"/>
      <c r="K508" s="30"/>
      <c r="L508" s="29"/>
      <c r="M508" s="31"/>
    </row>
    <row r="509" spans="5:13" hidden="1" x14ac:dyDescent="0.25">
      <c r="E509" s="37"/>
      <c r="F509" s="28"/>
      <c r="G509" s="28"/>
      <c r="H509" s="29"/>
      <c r="I509" s="29"/>
      <c r="J509" s="30"/>
      <c r="K509" s="30"/>
      <c r="L509" s="29"/>
      <c r="M509" s="31"/>
    </row>
    <row r="510" spans="5:13" hidden="1" x14ac:dyDescent="0.25">
      <c r="E510" s="37"/>
      <c r="F510" s="28"/>
      <c r="G510" s="28"/>
      <c r="H510" s="29"/>
      <c r="I510" s="29"/>
      <c r="J510" s="30"/>
      <c r="K510" s="30"/>
      <c r="L510" s="29"/>
      <c r="M510" s="31"/>
    </row>
    <row r="511" spans="5:13" hidden="1" x14ac:dyDescent="0.25">
      <c r="E511" s="37"/>
      <c r="F511" s="28"/>
      <c r="G511" s="28"/>
      <c r="H511" s="29"/>
      <c r="I511" s="29"/>
      <c r="J511" s="30"/>
      <c r="K511" s="30"/>
      <c r="L511" s="29"/>
      <c r="M511" s="31"/>
    </row>
    <row r="512" spans="5:13" hidden="1" x14ac:dyDescent="0.25">
      <c r="E512" s="37"/>
      <c r="F512" s="28"/>
      <c r="G512" s="28"/>
      <c r="H512" s="29"/>
      <c r="I512" s="29"/>
      <c r="J512" s="30"/>
      <c r="K512" s="30"/>
      <c r="L512" s="29"/>
      <c r="M512" s="31"/>
    </row>
    <row r="513" spans="5:13" hidden="1" x14ac:dyDescent="0.25">
      <c r="E513" s="37"/>
      <c r="F513" s="28"/>
      <c r="G513" s="28"/>
      <c r="H513" s="29"/>
      <c r="I513" s="29"/>
      <c r="J513" s="30"/>
      <c r="K513" s="30"/>
      <c r="L513" s="29"/>
      <c r="M513" s="31"/>
    </row>
    <row r="514" spans="5:13" hidden="1" x14ac:dyDescent="0.25">
      <c r="E514" s="37"/>
      <c r="F514" s="28"/>
      <c r="G514" s="28"/>
      <c r="H514" s="29"/>
      <c r="I514" s="29"/>
      <c r="J514" s="30"/>
      <c r="K514" s="30"/>
      <c r="L514" s="29"/>
      <c r="M514" s="31"/>
    </row>
    <row r="515" spans="5:13" hidden="1" x14ac:dyDescent="0.25">
      <c r="E515" s="37"/>
      <c r="F515" s="28"/>
      <c r="G515" s="28"/>
      <c r="H515" s="29"/>
      <c r="I515" s="29"/>
      <c r="J515" s="30"/>
      <c r="K515" s="30"/>
      <c r="L515" s="29"/>
      <c r="M515" s="31"/>
    </row>
    <row r="516" spans="5:13" hidden="1" x14ac:dyDescent="0.25">
      <c r="E516" s="37"/>
      <c r="F516" s="28"/>
      <c r="G516" s="28"/>
      <c r="H516" s="29"/>
      <c r="I516" s="29"/>
      <c r="J516" s="30"/>
      <c r="K516" s="30"/>
      <c r="L516" s="29"/>
      <c r="M516" s="31"/>
    </row>
    <row r="517" spans="5:13" hidden="1" x14ac:dyDescent="0.25">
      <c r="E517" s="37"/>
      <c r="F517" s="28"/>
      <c r="G517" s="28"/>
      <c r="H517" s="29"/>
      <c r="I517" s="29"/>
      <c r="J517" s="30"/>
      <c r="K517" s="30"/>
      <c r="L517" s="29"/>
      <c r="M517" s="31"/>
    </row>
    <row r="518" spans="5:13" hidden="1" x14ac:dyDescent="0.25">
      <c r="E518" s="37"/>
      <c r="F518" s="28"/>
      <c r="G518" s="28"/>
      <c r="H518" s="29"/>
      <c r="I518" s="29"/>
      <c r="J518" s="30"/>
      <c r="K518" s="30"/>
      <c r="L518" s="29"/>
      <c r="M518" s="31"/>
    </row>
    <row r="519" spans="5:13" hidden="1" x14ac:dyDescent="0.25">
      <c r="E519" s="37"/>
      <c r="F519" s="28"/>
      <c r="G519" s="28"/>
      <c r="H519" s="29"/>
      <c r="I519" s="29"/>
      <c r="J519" s="30"/>
      <c r="K519" s="30"/>
      <c r="L519" s="29"/>
      <c r="M519" s="31"/>
    </row>
    <row r="520" spans="5:13" hidden="1" x14ac:dyDescent="0.25">
      <c r="E520" s="37"/>
      <c r="F520" s="28"/>
      <c r="G520" s="28"/>
      <c r="H520" s="29"/>
      <c r="I520" s="29"/>
      <c r="J520" s="30"/>
      <c r="K520" s="30"/>
      <c r="L520" s="29"/>
      <c r="M520" s="31"/>
    </row>
    <row r="521" spans="5:13" hidden="1" x14ac:dyDescent="0.25">
      <c r="E521" s="37"/>
      <c r="F521" s="28"/>
      <c r="G521" s="28"/>
      <c r="H521" s="29"/>
      <c r="I521" s="29"/>
      <c r="J521" s="30"/>
      <c r="K521" s="30"/>
      <c r="L521" s="29"/>
      <c r="M521" s="31"/>
    </row>
    <row r="522" spans="5:13" hidden="1" x14ac:dyDescent="0.25">
      <c r="E522" s="37"/>
      <c r="F522" s="28"/>
      <c r="G522" s="28"/>
      <c r="H522" s="29"/>
      <c r="I522" s="29"/>
      <c r="J522" s="30"/>
      <c r="K522" s="30"/>
      <c r="L522" s="29"/>
      <c r="M522" s="31"/>
    </row>
    <row r="523" spans="5:13" hidden="1" x14ac:dyDescent="0.25">
      <c r="E523" s="37"/>
      <c r="F523" s="28"/>
      <c r="G523" s="28"/>
      <c r="H523" s="29"/>
      <c r="I523" s="29"/>
      <c r="J523" s="30"/>
      <c r="K523" s="30"/>
      <c r="L523" s="29"/>
      <c r="M523" s="31"/>
    </row>
    <row r="524" spans="5:13" hidden="1" x14ac:dyDescent="0.25">
      <c r="E524" s="37"/>
      <c r="F524" s="28"/>
      <c r="G524" s="28"/>
      <c r="H524" s="29"/>
      <c r="I524" s="29"/>
      <c r="J524" s="30"/>
      <c r="K524" s="30"/>
      <c r="L524" s="29"/>
      <c r="M524" s="31"/>
    </row>
    <row r="525" spans="5:13" hidden="1" x14ac:dyDescent="0.25">
      <c r="E525" s="37"/>
      <c r="F525" s="28"/>
      <c r="G525" s="28"/>
      <c r="H525" s="29"/>
      <c r="I525" s="29"/>
      <c r="J525" s="30"/>
      <c r="K525" s="30"/>
      <c r="L525" s="29"/>
      <c r="M525" s="31"/>
    </row>
    <row r="526" spans="5:13" hidden="1" x14ac:dyDescent="0.25">
      <c r="E526" s="37"/>
      <c r="F526" s="28"/>
      <c r="G526" s="28"/>
      <c r="H526" s="29"/>
      <c r="I526" s="29"/>
      <c r="J526" s="30"/>
      <c r="K526" s="30"/>
      <c r="L526" s="29"/>
      <c r="M526" s="31"/>
    </row>
    <row r="527" spans="5:13" hidden="1" x14ac:dyDescent="0.25">
      <c r="E527" s="37"/>
      <c r="F527" s="28"/>
      <c r="G527" s="28"/>
      <c r="H527" s="29"/>
      <c r="I527" s="29"/>
      <c r="J527" s="30"/>
      <c r="K527" s="30"/>
      <c r="L527" s="29"/>
      <c r="M527" s="31"/>
    </row>
    <row r="528" spans="5:13" hidden="1" x14ac:dyDescent="0.25">
      <c r="E528" s="37"/>
      <c r="F528" s="28"/>
      <c r="G528" s="28"/>
      <c r="H528" s="29"/>
      <c r="I528" s="29"/>
      <c r="J528" s="30"/>
      <c r="K528" s="30"/>
      <c r="L528" s="29"/>
      <c r="M528" s="31"/>
    </row>
    <row r="529" spans="5:13" hidden="1" x14ac:dyDescent="0.25">
      <c r="E529" s="37"/>
      <c r="F529" s="28"/>
      <c r="G529" s="28"/>
      <c r="H529" s="29"/>
      <c r="I529" s="29"/>
      <c r="J529" s="30"/>
      <c r="K529" s="30"/>
      <c r="L529" s="29"/>
      <c r="M529" s="31"/>
    </row>
    <row r="530" spans="5:13" hidden="1" x14ac:dyDescent="0.25">
      <c r="E530" s="37"/>
      <c r="F530" s="28"/>
      <c r="G530" s="28"/>
      <c r="H530" s="29"/>
      <c r="I530" s="29"/>
      <c r="J530" s="30"/>
      <c r="K530" s="30"/>
      <c r="L530" s="29"/>
      <c r="M530" s="31"/>
    </row>
    <row r="531" spans="5:13" hidden="1" x14ac:dyDescent="0.25">
      <c r="E531" s="37"/>
      <c r="F531" s="28"/>
      <c r="G531" s="28"/>
      <c r="H531" s="29"/>
      <c r="I531" s="29"/>
      <c r="J531" s="30"/>
      <c r="K531" s="30"/>
      <c r="L531" s="29"/>
      <c r="M531" s="31"/>
    </row>
    <row r="532" spans="5:13" hidden="1" x14ac:dyDescent="0.25">
      <c r="E532" s="37"/>
      <c r="F532" s="28"/>
      <c r="G532" s="28"/>
      <c r="H532" s="29"/>
      <c r="I532" s="29"/>
      <c r="J532" s="30"/>
      <c r="K532" s="30"/>
      <c r="L532" s="29"/>
      <c r="M532" s="31"/>
    </row>
    <row r="533" spans="5:13" hidden="1" x14ac:dyDescent="0.25">
      <c r="E533" s="37"/>
      <c r="F533" s="28"/>
      <c r="G533" s="28"/>
      <c r="H533" s="29"/>
      <c r="I533" s="29"/>
      <c r="J533" s="30"/>
      <c r="K533" s="30"/>
      <c r="L533" s="29"/>
      <c r="M533" s="31"/>
    </row>
    <row r="534" spans="5:13" hidden="1" x14ac:dyDescent="0.25">
      <c r="E534" s="37"/>
      <c r="F534" s="28"/>
      <c r="G534" s="28"/>
      <c r="H534" s="29"/>
      <c r="I534" s="29"/>
      <c r="J534" s="30"/>
      <c r="K534" s="30"/>
      <c r="L534" s="29"/>
      <c r="M534" s="31"/>
    </row>
    <row r="535" spans="5:13" hidden="1" x14ac:dyDescent="0.25">
      <c r="E535" s="37"/>
      <c r="F535" s="28"/>
      <c r="G535" s="28"/>
      <c r="H535" s="29"/>
      <c r="I535" s="29"/>
      <c r="J535" s="30"/>
      <c r="K535" s="30"/>
      <c r="L535" s="29"/>
      <c r="M535" s="31"/>
    </row>
    <row r="536" spans="5:13" hidden="1" x14ac:dyDescent="0.25">
      <c r="E536" s="37"/>
      <c r="F536" s="28"/>
      <c r="G536" s="28"/>
      <c r="H536" s="29"/>
      <c r="I536" s="29"/>
      <c r="J536" s="30"/>
      <c r="K536" s="30"/>
      <c r="L536" s="29"/>
      <c r="M536" s="31"/>
    </row>
    <row r="537" spans="5:13" hidden="1" x14ac:dyDescent="0.25">
      <c r="E537" s="37"/>
      <c r="F537" s="28"/>
      <c r="G537" s="28"/>
      <c r="H537" s="29"/>
      <c r="I537" s="29"/>
      <c r="J537" s="30"/>
      <c r="K537" s="30"/>
      <c r="L537" s="29"/>
      <c r="M537" s="31"/>
    </row>
    <row r="538" spans="5:13" hidden="1" x14ac:dyDescent="0.25">
      <c r="E538" s="37"/>
      <c r="F538" s="28"/>
      <c r="G538" s="28"/>
      <c r="H538" s="29"/>
      <c r="I538" s="29"/>
      <c r="J538" s="30"/>
      <c r="K538" s="30"/>
      <c r="L538" s="29"/>
      <c r="M538" s="31"/>
    </row>
    <row r="539" spans="5:13" hidden="1" x14ac:dyDescent="0.25">
      <c r="E539" s="37"/>
      <c r="F539" s="28"/>
      <c r="G539" s="28"/>
      <c r="H539" s="29"/>
      <c r="I539" s="29"/>
      <c r="J539" s="30"/>
      <c r="K539" s="30"/>
      <c r="L539" s="29"/>
      <c r="M539" s="31"/>
    </row>
    <row r="540" spans="5:13" hidden="1" x14ac:dyDescent="0.25">
      <c r="E540" s="37"/>
      <c r="F540" s="28"/>
      <c r="G540" s="28"/>
      <c r="H540" s="29"/>
      <c r="I540" s="29"/>
      <c r="J540" s="30"/>
      <c r="K540" s="30"/>
      <c r="L540" s="29"/>
      <c r="M540" s="31"/>
    </row>
    <row r="541" spans="5:13" hidden="1" x14ac:dyDescent="0.25">
      <c r="E541" s="37"/>
      <c r="F541" s="28"/>
      <c r="G541" s="28"/>
      <c r="H541" s="29"/>
      <c r="I541" s="29"/>
      <c r="J541" s="30"/>
      <c r="K541" s="30"/>
      <c r="L541" s="29"/>
      <c r="M541" s="31"/>
    </row>
    <row r="542" spans="5:13" hidden="1" x14ac:dyDescent="0.25">
      <c r="E542" s="37"/>
      <c r="F542" s="28"/>
      <c r="G542" s="28"/>
      <c r="H542" s="29"/>
      <c r="I542" s="29"/>
      <c r="J542" s="30"/>
      <c r="K542" s="30"/>
      <c r="L542" s="29"/>
      <c r="M542" s="31"/>
    </row>
    <row r="543" spans="5:13" hidden="1" x14ac:dyDescent="0.25">
      <c r="E543" s="37"/>
      <c r="F543" s="28"/>
      <c r="G543" s="28"/>
      <c r="H543" s="29"/>
      <c r="I543" s="29"/>
      <c r="J543" s="30"/>
      <c r="K543" s="30"/>
      <c r="L543" s="29"/>
      <c r="M543" s="31"/>
    </row>
    <row r="544" spans="5:13" hidden="1" x14ac:dyDescent="0.25">
      <c r="E544" s="37"/>
      <c r="F544" s="28"/>
      <c r="G544" s="28"/>
      <c r="H544" s="29"/>
      <c r="I544" s="29"/>
      <c r="J544" s="30"/>
      <c r="K544" s="30"/>
      <c r="L544" s="29"/>
      <c r="M544" s="31"/>
    </row>
    <row r="545" spans="5:13" hidden="1" x14ac:dyDescent="0.25">
      <c r="E545" s="37"/>
      <c r="F545" s="28"/>
      <c r="G545" s="28"/>
      <c r="H545" s="29"/>
      <c r="I545" s="29"/>
      <c r="J545" s="30"/>
      <c r="K545" s="30"/>
      <c r="L545" s="29"/>
      <c r="M545" s="31"/>
    </row>
    <row r="546" spans="5:13" hidden="1" x14ac:dyDescent="0.25">
      <c r="E546" s="37"/>
      <c r="F546" s="28"/>
      <c r="G546" s="28"/>
      <c r="H546" s="29"/>
      <c r="I546" s="29"/>
      <c r="J546" s="30"/>
      <c r="K546" s="30"/>
      <c r="L546" s="29"/>
      <c r="M546" s="31"/>
    </row>
    <row r="547" spans="5:13" hidden="1" x14ac:dyDescent="0.25">
      <c r="E547" s="37"/>
      <c r="F547" s="28"/>
      <c r="G547" s="28"/>
      <c r="H547" s="29"/>
      <c r="I547" s="29"/>
      <c r="J547" s="30"/>
      <c r="K547" s="30"/>
      <c r="L547" s="29"/>
      <c r="M547" s="31"/>
    </row>
    <row r="548" spans="5:13" hidden="1" x14ac:dyDescent="0.25">
      <c r="E548" s="37"/>
      <c r="F548" s="28"/>
      <c r="G548" s="28"/>
      <c r="H548" s="29"/>
      <c r="I548" s="29"/>
      <c r="J548" s="30"/>
      <c r="K548" s="30"/>
      <c r="L548" s="29"/>
      <c r="M548" s="31"/>
    </row>
    <row r="549" spans="5:13" hidden="1" x14ac:dyDescent="0.25">
      <c r="E549" s="37"/>
      <c r="F549" s="28"/>
      <c r="G549" s="28"/>
      <c r="H549" s="29"/>
      <c r="I549" s="29"/>
      <c r="J549" s="30"/>
      <c r="K549" s="30"/>
      <c r="L549" s="29"/>
      <c r="M549" s="31"/>
    </row>
    <row r="550" spans="5:13" hidden="1" x14ac:dyDescent="0.25">
      <c r="E550" s="37"/>
      <c r="F550" s="28"/>
      <c r="G550" s="28"/>
      <c r="H550" s="29"/>
      <c r="I550" s="29"/>
      <c r="J550" s="30"/>
      <c r="K550" s="30"/>
      <c r="L550" s="29"/>
      <c r="M550" s="31"/>
    </row>
    <row r="551" spans="5:13" hidden="1" x14ac:dyDescent="0.25">
      <c r="E551" s="37"/>
      <c r="F551" s="28"/>
      <c r="G551" s="28"/>
      <c r="H551" s="29"/>
      <c r="I551" s="29"/>
      <c r="J551" s="30"/>
      <c r="K551" s="30"/>
      <c r="L551" s="29"/>
      <c r="M551" s="31"/>
    </row>
    <row r="552" spans="5:13" hidden="1" x14ac:dyDescent="0.25">
      <c r="E552" s="37"/>
      <c r="F552" s="28"/>
      <c r="G552" s="28"/>
      <c r="H552" s="29"/>
      <c r="I552" s="29"/>
      <c r="J552" s="30"/>
      <c r="K552" s="30"/>
      <c r="L552" s="29"/>
      <c r="M552" s="31"/>
    </row>
    <row r="553" spans="5:13" hidden="1" x14ac:dyDescent="0.25">
      <c r="E553" s="37"/>
      <c r="F553" s="28"/>
      <c r="G553" s="28"/>
      <c r="H553" s="29"/>
      <c r="I553" s="29"/>
      <c r="J553" s="30"/>
      <c r="K553" s="30"/>
      <c r="L553" s="29"/>
      <c r="M553" s="31"/>
    </row>
    <row r="554" spans="5:13" hidden="1" x14ac:dyDescent="0.25">
      <c r="E554" s="37"/>
      <c r="F554" s="28"/>
      <c r="G554" s="28"/>
      <c r="H554" s="29"/>
      <c r="I554" s="29"/>
      <c r="J554" s="30"/>
      <c r="K554" s="30"/>
      <c r="L554" s="29"/>
      <c r="M554" s="31"/>
    </row>
    <row r="555" spans="5:13" hidden="1" x14ac:dyDescent="0.25">
      <c r="E555" s="37"/>
      <c r="F555" s="28"/>
      <c r="G555" s="28"/>
      <c r="H555" s="29"/>
      <c r="I555" s="29"/>
      <c r="J555" s="30"/>
      <c r="K555" s="30"/>
      <c r="L555" s="29"/>
      <c r="M555" s="31"/>
    </row>
    <row r="556" spans="5:13" hidden="1" x14ac:dyDescent="0.25">
      <c r="E556" s="37"/>
      <c r="F556" s="28"/>
      <c r="G556" s="28"/>
      <c r="H556" s="29"/>
      <c r="I556" s="29"/>
      <c r="J556" s="30"/>
      <c r="K556" s="30"/>
      <c r="L556" s="29"/>
      <c r="M556" s="31"/>
    </row>
    <row r="557" spans="5:13" hidden="1" x14ac:dyDescent="0.25">
      <c r="E557" s="37"/>
      <c r="F557" s="28"/>
      <c r="G557" s="28"/>
      <c r="H557" s="29"/>
      <c r="I557" s="29"/>
      <c r="J557" s="30"/>
      <c r="K557" s="30"/>
      <c r="L557" s="29"/>
      <c r="M557" s="31"/>
    </row>
    <row r="558" spans="5:13" hidden="1" x14ac:dyDescent="0.25">
      <c r="E558" s="37"/>
      <c r="F558" s="28"/>
      <c r="G558" s="28"/>
      <c r="H558" s="29"/>
      <c r="I558" s="29"/>
      <c r="J558" s="30"/>
      <c r="K558" s="30"/>
      <c r="L558" s="29"/>
      <c r="M558" s="31"/>
    </row>
    <row r="559" spans="5:13" hidden="1" x14ac:dyDescent="0.25">
      <c r="E559" s="37"/>
      <c r="F559" s="28"/>
      <c r="G559" s="28"/>
      <c r="H559" s="29"/>
      <c r="I559" s="29"/>
      <c r="J559" s="30"/>
      <c r="K559" s="30"/>
      <c r="L559" s="29"/>
      <c r="M559" s="31"/>
    </row>
    <row r="560" spans="5:13" hidden="1" x14ac:dyDescent="0.25">
      <c r="E560" s="37"/>
      <c r="F560" s="28"/>
      <c r="G560" s="28"/>
      <c r="H560" s="29"/>
      <c r="I560" s="29"/>
      <c r="J560" s="30"/>
      <c r="K560" s="30"/>
      <c r="L560" s="29"/>
      <c r="M560" s="31"/>
    </row>
    <row r="561" spans="5:13" x14ac:dyDescent="0.25">
      <c r="E561" s="37"/>
      <c r="F561" s="28"/>
      <c r="G561" s="28"/>
      <c r="H561" s="29"/>
      <c r="I561" s="29"/>
      <c r="J561" s="30"/>
      <c r="K561" s="30"/>
      <c r="L561" s="29"/>
      <c r="M561" s="31"/>
    </row>
    <row r="562" spans="5:13" x14ac:dyDescent="0.25">
      <c r="E562" s="37"/>
      <c r="F562" s="28"/>
      <c r="G562" s="28"/>
      <c r="H562" s="29"/>
      <c r="I562" s="29"/>
      <c r="J562" s="30"/>
      <c r="K562" s="30"/>
      <c r="L562" s="29"/>
      <c r="M562" s="31"/>
    </row>
    <row r="563" spans="5:13" x14ac:dyDescent="0.25">
      <c r="E563" s="37"/>
      <c r="F563" s="28"/>
      <c r="G563" s="28"/>
      <c r="H563" s="29"/>
      <c r="I563" s="29"/>
      <c r="J563" s="30"/>
      <c r="K563" s="30"/>
      <c r="L563" s="29"/>
      <c r="M563" s="31"/>
    </row>
    <row r="564" spans="5:13" x14ac:dyDescent="0.25">
      <c r="E564" s="37"/>
      <c r="F564" s="28"/>
      <c r="G564" s="28"/>
      <c r="H564" s="29"/>
      <c r="I564" s="29"/>
      <c r="J564" s="30"/>
      <c r="K564" s="30"/>
      <c r="L564" s="29"/>
      <c r="M564" s="31"/>
    </row>
    <row r="565" spans="5:13" x14ac:dyDescent="0.25">
      <c r="E565" s="37"/>
      <c r="F565" s="28"/>
      <c r="G565" s="28"/>
      <c r="H565" s="29"/>
      <c r="I565" s="29"/>
      <c r="J565" s="30"/>
      <c r="K565" s="30"/>
      <c r="L565" s="29"/>
      <c r="M565" s="31"/>
    </row>
    <row r="566" spans="5:13" x14ac:dyDescent="0.25">
      <c r="E566" s="37"/>
      <c r="F566" s="28"/>
      <c r="G566" s="28"/>
      <c r="H566" s="29"/>
      <c r="I566" s="29"/>
      <c r="J566" s="30"/>
      <c r="K566" s="30"/>
      <c r="L566" s="29"/>
      <c r="M566" s="31"/>
    </row>
    <row r="567" spans="5:13" x14ac:dyDescent="0.25">
      <c r="E567" s="37"/>
      <c r="F567" s="28"/>
      <c r="G567" s="28"/>
      <c r="H567" s="29"/>
      <c r="I567" s="29"/>
      <c r="J567" s="30"/>
      <c r="K567" s="30"/>
      <c r="L567" s="29"/>
      <c r="M567" s="31"/>
    </row>
    <row r="568" spans="5:13" x14ac:dyDescent="0.25">
      <c r="E568" s="37"/>
      <c r="F568" s="28"/>
      <c r="G568" s="28"/>
      <c r="H568" s="29"/>
      <c r="I568" s="29"/>
      <c r="J568" s="30"/>
      <c r="K568" s="30"/>
      <c r="L568" s="29"/>
      <c r="M568" s="31"/>
    </row>
    <row r="569" spans="5:13" x14ac:dyDescent="0.25">
      <c r="E569" s="37"/>
      <c r="F569" s="28"/>
      <c r="G569" s="28"/>
      <c r="H569" s="29"/>
      <c r="I569" s="29"/>
      <c r="J569" s="30"/>
      <c r="K569" s="30"/>
      <c r="L569" s="29"/>
      <c r="M569" s="31"/>
    </row>
    <row r="570" spans="5:13" x14ac:dyDescent="0.25">
      <c r="E570" s="37"/>
      <c r="F570" s="28"/>
      <c r="G570" s="28"/>
      <c r="H570" s="29"/>
      <c r="I570" s="29"/>
      <c r="J570" s="30"/>
      <c r="K570" s="30"/>
      <c r="L570" s="29"/>
      <c r="M570" s="31"/>
    </row>
    <row r="571" spans="5:13" x14ac:dyDescent="0.25">
      <c r="E571" s="37"/>
      <c r="F571" s="28"/>
      <c r="G571" s="28"/>
      <c r="H571" s="29"/>
      <c r="I571" s="29"/>
      <c r="J571" s="30"/>
      <c r="K571" s="30"/>
      <c r="L571" s="29"/>
      <c r="M571" s="31"/>
    </row>
    <row r="572" spans="5:13" x14ac:dyDescent="0.25">
      <c r="E572" s="37"/>
      <c r="F572" s="28"/>
      <c r="G572" s="28"/>
      <c r="H572" s="29"/>
      <c r="I572" s="29"/>
      <c r="J572" s="30"/>
      <c r="K572" s="30"/>
      <c r="L572" s="29"/>
      <c r="M572" s="31"/>
    </row>
    <row r="573" spans="5:13" x14ac:dyDescent="0.25">
      <c r="E573" s="37"/>
      <c r="F573" s="28"/>
      <c r="G573" s="28"/>
      <c r="H573" s="29"/>
      <c r="I573" s="29"/>
      <c r="J573" s="30"/>
      <c r="K573" s="30"/>
      <c r="L573" s="29"/>
      <c r="M573" s="31"/>
    </row>
    <row r="574" spans="5:13" x14ac:dyDescent="0.25">
      <c r="E574" s="37"/>
      <c r="F574" s="28"/>
      <c r="G574" s="28"/>
      <c r="H574" s="29"/>
      <c r="I574" s="29"/>
      <c r="J574" s="30"/>
      <c r="K574" s="30"/>
      <c r="L574" s="29"/>
      <c r="M574" s="31"/>
    </row>
    <row r="575" spans="5:13" x14ac:dyDescent="0.25">
      <c r="E575" s="37"/>
      <c r="F575" s="28"/>
      <c r="G575" s="28"/>
      <c r="H575" s="29"/>
      <c r="I575" s="29"/>
      <c r="J575" s="30"/>
      <c r="K575" s="30"/>
      <c r="L575" s="29"/>
      <c r="M575" s="31"/>
    </row>
    <row r="576" spans="5:13" x14ac:dyDescent="0.25">
      <c r="E576" s="37"/>
      <c r="F576" s="28"/>
      <c r="G576" s="28"/>
      <c r="H576" s="29"/>
      <c r="I576" s="29"/>
      <c r="J576" s="30"/>
      <c r="K576" s="30"/>
      <c r="L576" s="29"/>
      <c r="M576" s="31"/>
    </row>
    <row r="577" spans="5:13" x14ac:dyDescent="0.25">
      <c r="E577" s="37"/>
      <c r="F577" s="28"/>
      <c r="G577" s="28"/>
      <c r="H577" s="29"/>
      <c r="I577" s="29"/>
      <c r="J577" s="30"/>
      <c r="K577" s="30"/>
      <c r="L577" s="29"/>
      <c r="M577" s="31"/>
    </row>
    <row r="578" spans="5:13" x14ac:dyDescent="0.25">
      <c r="E578" s="37"/>
      <c r="F578" s="28"/>
      <c r="G578" s="28"/>
      <c r="H578" s="29"/>
      <c r="I578" s="29"/>
      <c r="J578" s="30"/>
      <c r="K578" s="30"/>
      <c r="L578" s="29"/>
      <c r="M578" s="31"/>
    </row>
    <row r="579" spans="5:13" x14ac:dyDescent="0.25">
      <c r="E579" s="37"/>
      <c r="F579" s="28"/>
      <c r="G579" s="28"/>
      <c r="H579" s="29"/>
      <c r="I579" s="29"/>
      <c r="J579" s="30"/>
      <c r="K579" s="30"/>
      <c r="L579" s="29"/>
      <c r="M579" s="31"/>
    </row>
    <row r="580" spans="5:13" x14ac:dyDescent="0.25">
      <c r="E580" s="37"/>
      <c r="F580" s="28"/>
      <c r="G580" s="28"/>
      <c r="H580" s="29"/>
      <c r="I580" s="29"/>
      <c r="J580" s="30"/>
      <c r="K580" s="30"/>
      <c r="L580" s="29"/>
      <c r="M580" s="31"/>
    </row>
    <row r="581" spans="5:13" x14ac:dyDescent="0.25">
      <c r="E581" s="37"/>
      <c r="F581" s="28"/>
      <c r="G581" s="28"/>
      <c r="H581" s="29"/>
      <c r="I581" s="29"/>
      <c r="J581" s="30"/>
      <c r="K581" s="30"/>
      <c r="L581" s="29"/>
      <c r="M581" s="31"/>
    </row>
    <row r="582" spans="5:13" x14ac:dyDescent="0.25">
      <c r="E582" s="37"/>
      <c r="F582" s="28"/>
      <c r="G582" s="28"/>
      <c r="H582" s="29"/>
      <c r="I582" s="29"/>
      <c r="J582" s="30"/>
      <c r="K582" s="30"/>
      <c r="L582" s="29"/>
      <c r="M582" s="31"/>
    </row>
    <row r="583" spans="5:13" x14ac:dyDescent="0.25">
      <c r="E583" s="37"/>
      <c r="F583" s="28"/>
      <c r="G583" s="28"/>
      <c r="H583" s="29"/>
      <c r="I583" s="29"/>
      <c r="J583" s="30"/>
      <c r="K583" s="30"/>
      <c r="L583" s="29"/>
      <c r="M583" s="31"/>
    </row>
    <row r="584" spans="5:13" x14ac:dyDescent="0.25">
      <c r="E584" s="37"/>
      <c r="F584" s="28"/>
      <c r="G584" s="28"/>
      <c r="H584" s="29"/>
      <c r="I584" s="29"/>
      <c r="J584" s="30"/>
      <c r="K584" s="30"/>
      <c r="L584" s="29"/>
      <c r="M584" s="31"/>
    </row>
    <row r="585" spans="5:13" x14ac:dyDescent="0.25">
      <c r="E585" s="37"/>
      <c r="F585" s="28"/>
      <c r="G585" s="28"/>
      <c r="H585" s="29"/>
      <c r="I585" s="29"/>
      <c r="J585" s="30"/>
      <c r="K585" s="30"/>
      <c r="L585" s="29"/>
      <c r="M585" s="31"/>
    </row>
    <row r="586" spans="5:13" x14ac:dyDescent="0.25">
      <c r="E586" s="37"/>
      <c r="F586" s="28"/>
      <c r="G586" s="28"/>
      <c r="H586" s="29"/>
      <c r="I586" s="29"/>
      <c r="J586" s="30"/>
      <c r="K586" s="30"/>
      <c r="L586" s="29"/>
      <c r="M586" s="31"/>
    </row>
    <row r="587" spans="5:13" x14ac:dyDescent="0.25">
      <c r="E587" s="37"/>
      <c r="F587" s="28"/>
      <c r="G587" s="28"/>
      <c r="H587" s="29"/>
      <c r="I587" s="29"/>
      <c r="J587" s="30"/>
      <c r="K587" s="30"/>
      <c r="L587" s="29"/>
      <c r="M587" s="31"/>
    </row>
    <row r="588" spans="5:13" x14ac:dyDescent="0.25">
      <c r="E588" s="37"/>
      <c r="F588" s="28"/>
      <c r="G588" s="28"/>
      <c r="H588" s="29"/>
      <c r="I588" s="29"/>
      <c r="J588" s="30"/>
      <c r="K588" s="30"/>
      <c r="L588" s="29"/>
      <c r="M588" s="31"/>
    </row>
    <row r="589" spans="5:13" x14ac:dyDescent="0.25">
      <c r="E589" s="37"/>
      <c r="F589" s="28"/>
      <c r="G589" s="28"/>
      <c r="H589" s="29"/>
      <c r="I589" s="29"/>
      <c r="J589" s="30"/>
      <c r="K589" s="30"/>
      <c r="L589" s="29"/>
      <c r="M589" s="31"/>
    </row>
    <row r="590" spans="5:13" x14ac:dyDescent="0.25">
      <c r="E590" s="37"/>
      <c r="F590" s="28"/>
      <c r="G590" s="28"/>
      <c r="H590" s="29"/>
      <c r="I590" s="29"/>
      <c r="J590" s="30"/>
      <c r="K590" s="30"/>
      <c r="L590" s="29"/>
      <c r="M590" s="31"/>
    </row>
    <row r="591" spans="5:13" x14ac:dyDescent="0.25">
      <c r="E591" s="37"/>
      <c r="F591" s="28"/>
      <c r="G591" s="28"/>
      <c r="H591" s="29"/>
      <c r="I591" s="29"/>
      <c r="J591" s="30"/>
      <c r="K591" s="30"/>
      <c r="L591" s="29"/>
      <c r="M591" s="31"/>
    </row>
    <row r="592" spans="5:13" x14ac:dyDescent="0.25">
      <c r="E592" s="37"/>
      <c r="F592" s="28"/>
      <c r="G592" s="28"/>
      <c r="H592" s="29"/>
      <c r="I592" s="29"/>
      <c r="J592" s="30"/>
      <c r="K592" s="30"/>
      <c r="L592" s="29"/>
      <c r="M592" s="31"/>
    </row>
    <row r="593" spans="5:13" x14ac:dyDescent="0.25">
      <c r="E593" s="37"/>
      <c r="F593" s="28"/>
      <c r="G593" s="28"/>
      <c r="H593" s="29"/>
      <c r="I593" s="29"/>
      <c r="J593" s="30"/>
      <c r="K593" s="30"/>
      <c r="L593" s="29"/>
      <c r="M593" s="31"/>
    </row>
    <row r="594" spans="5:13" x14ac:dyDescent="0.25">
      <c r="E594" s="37"/>
      <c r="F594" s="28"/>
      <c r="G594" s="28"/>
      <c r="H594" s="29"/>
      <c r="I594" s="29"/>
      <c r="J594" s="30"/>
      <c r="K594" s="30"/>
      <c r="L594" s="29"/>
      <c r="M594" s="31"/>
    </row>
    <row r="595" spans="5:13" x14ac:dyDescent="0.25">
      <c r="E595" s="37"/>
      <c r="F595" s="28"/>
      <c r="G595" s="28"/>
      <c r="H595" s="29"/>
      <c r="I595" s="29"/>
      <c r="J595" s="30"/>
      <c r="K595" s="30"/>
      <c r="L595" s="29"/>
      <c r="M595" s="31"/>
    </row>
    <row r="596" spans="5:13" x14ac:dyDescent="0.25">
      <c r="E596" s="37"/>
      <c r="F596" s="28"/>
      <c r="G596" s="28"/>
      <c r="H596" s="29"/>
      <c r="I596" s="29"/>
      <c r="J596" s="30"/>
      <c r="K596" s="30"/>
      <c r="L596" s="29"/>
      <c r="M596" s="31"/>
    </row>
    <row r="597" spans="5:13" x14ac:dyDescent="0.25">
      <c r="E597" s="37"/>
      <c r="F597" s="28"/>
      <c r="G597" s="28"/>
      <c r="H597" s="29"/>
      <c r="I597" s="29"/>
      <c r="J597" s="30"/>
      <c r="K597" s="30"/>
      <c r="L597" s="29"/>
      <c r="M597" s="31"/>
    </row>
    <row r="598" spans="5:13" x14ac:dyDescent="0.25">
      <c r="E598" s="37"/>
      <c r="F598" s="28"/>
      <c r="G598" s="28"/>
      <c r="H598" s="29"/>
      <c r="I598" s="29"/>
      <c r="J598" s="30"/>
      <c r="K598" s="30"/>
      <c r="L598" s="29"/>
      <c r="M598" s="31"/>
    </row>
    <row r="599" spans="5:13" x14ac:dyDescent="0.25">
      <c r="E599" s="37"/>
      <c r="F599" s="28"/>
      <c r="G599" s="28"/>
      <c r="H599" s="29"/>
      <c r="I599" s="29"/>
      <c r="J599" s="30"/>
      <c r="K599" s="30"/>
      <c r="L599" s="29"/>
      <c r="M599" s="31"/>
    </row>
    <row r="600" spans="5:13" x14ac:dyDescent="0.25">
      <c r="E600" s="37"/>
      <c r="F600" s="28"/>
      <c r="G600" s="28"/>
      <c r="H600" s="29"/>
      <c r="I600" s="29"/>
      <c r="J600" s="30"/>
      <c r="K600" s="30"/>
      <c r="L600" s="29"/>
      <c r="M600" s="31"/>
    </row>
    <row r="601" spans="5:13" x14ac:dyDescent="0.25">
      <c r="E601" s="37"/>
      <c r="F601" s="28"/>
      <c r="G601" s="28"/>
      <c r="H601" s="29"/>
      <c r="I601" s="29"/>
      <c r="J601" s="30"/>
      <c r="K601" s="30"/>
      <c r="L601" s="29"/>
      <c r="M601" s="31"/>
    </row>
    <row r="602" spans="5:13" x14ac:dyDescent="0.25">
      <c r="E602" s="37"/>
      <c r="F602" s="28"/>
      <c r="G602" s="28"/>
      <c r="H602" s="29"/>
      <c r="I602" s="29"/>
      <c r="J602" s="30"/>
      <c r="K602" s="30"/>
      <c r="L602" s="29"/>
      <c r="M602" s="31"/>
    </row>
    <row r="603" spans="5:13" x14ac:dyDescent="0.25">
      <c r="E603" s="37"/>
      <c r="F603" s="28"/>
      <c r="G603" s="28"/>
      <c r="H603" s="29"/>
      <c r="I603" s="29"/>
      <c r="J603" s="30"/>
      <c r="K603" s="30"/>
      <c r="L603" s="29"/>
      <c r="M603" s="31"/>
    </row>
    <row r="604" spans="5:13" x14ac:dyDescent="0.25">
      <c r="E604" s="37"/>
      <c r="F604" s="28"/>
      <c r="G604" s="28"/>
      <c r="H604" s="29"/>
      <c r="I604" s="29"/>
      <c r="J604" s="30"/>
      <c r="K604" s="30"/>
      <c r="L604" s="29"/>
      <c r="M604" s="31"/>
    </row>
    <row r="605" spans="5:13" x14ac:dyDescent="0.25">
      <c r="E605" s="37"/>
      <c r="F605" s="28"/>
      <c r="G605" s="28"/>
      <c r="H605" s="29"/>
      <c r="I605" s="29"/>
      <c r="J605" s="30"/>
      <c r="K605" s="30"/>
      <c r="L605" s="29"/>
      <c r="M605" s="31"/>
    </row>
    <row r="606" spans="5:13" x14ac:dyDescent="0.25">
      <c r="E606" s="37"/>
      <c r="F606" s="28"/>
      <c r="G606" s="28"/>
      <c r="H606" s="29"/>
      <c r="I606" s="29"/>
      <c r="J606" s="30"/>
      <c r="K606" s="30"/>
      <c r="L606" s="29"/>
      <c r="M606" s="31"/>
    </row>
    <row r="607" spans="5:13" x14ac:dyDescent="0.25">
      <c r="E607" s="37"/>
      <c r="F607" s="28"/>
      <c r="G607" s="28"/>
      <c r="H607" s="29"/>
      <c r="I607" s="29"/>
      <c r="J607" s="30"/>
      <c r="K607" s="30"/>
      <c r="L607" s="29"/>
      <c r="M607" s="31"/>
    </row>
    <row r="608" spans="5:13" x14ac:dyDescent="0.25">
      <c r="E608" s="37"/>
      <c r="F608" s="28"/>
      <c r="G608" s="28"/>
      <c r="H608" s="29"/>
      <c r="I608" s="29"/>
      <c r="J608" s="30"/>
      <c r="K608" s="30"/>
      <c r="L608" s="29"/>
      <c r="M608" s="31"/>
    </row>
    <row r="609" spans="5:13" x14ac:dyDescent="0.25">
      <c r="E609" s="37"/>
      <c r="F609" s="28"/>
      <c r="G609" s="28"/>
      <c r="H609" s="29"/>
      <c r="I609" s="29"/>
      <c r="J609" s="30"/>
      <c r="K609" s="30"/>
      <c r="L609" s="29"/>
      <c r="M609" s="31"/>
    </row>
    <row r="610" spans="5:13" x14ac:dyDescent="0.25">
      <c r="E610" s="37"/>
      <c r="F610" s="28"/>
      <c r="G610" s="28"/>
      <c r="H610" s="29"/>
      <c r="I610" s="29"/>
      <c r="J610" s="30"/>
      <c r="K610" s="30"/>
      <c r="L610" s="29"/>
      <c r="M610" s="31"/>
    </row>
    <row r="611" spans="5:13" x14ac:dyDescent="0.25">
      <c r="E611" s="37"/>
      <c r="F611" s="28"/>
      <c r="G611" s="28"/>
      <c r="H611" s="29"/>
      <c r="I611" s="29"/>
      <c r="J611" s="30"/>
      <c r="K611" s="30"/>
      <c r="L611" s="29"/>
      <c r="M611" s="31"/>
    </row>
    <row r="612" spans="5:13" x14ac:dyDescent="0.25">
      <c r="E612" s="37"/>
      <c r="F612" s="28"/>
      <c r="G612" s="28"/>
      <c r="H612" s="29"/>
      <c r="I612" s="29"/>
      <c r="J612" s="30"/>
      <c r="K612" s="30"/>
      <c r="L612" s="29"/>
      <c r="M612" s="31"/>
    </row>
    <row r="613" spans="5:13" x14ac:dyDescent="0.25">
      <c r="E613" s="37"/>
      <c r="F613" s="28"/>
      <c r="G613" s="28"/>
      <c r="H613" s="29"/>
      <c r="I613" s="29"/>
      <c r="J613" s="30"/>
      <c r="K613" s="30"/>
      <c r="L613" s="29"/>
      <c r="M613" s="31"/>
    </row>
    <row r="614" spans="5:13" x14ac:dyDescent="0.25">
      <c r="E614" s="37"/>
      <c r="F614" s="28"/>
      <c r="G614" s="28"/>
      <c r="H614" s="29"/>
      <c r="I614" s="29"/>
      <c r="J614" s="30"/>
      <c r="K614" s="30"/>
      <c r="L614" s="29"/>
      <c r="M614" s="31"/>
    </row>
    <row r="615" spans="5:13" x14ac:dyDescent="0.25">
      <c r="E615" s="37"/>
      <c r="F615" s="28"/>
      <c r="G615" s="28"/>
      <c r="H615" s="29"/>
      <c r="I615" s="29"/>
      <c r="J615" s="30"/>
      <c r="K615" s="30"/>
      <c r="L615" s="29"/>
      <c r="M615" s="31"/>
    </row>
    <row r="616" spans="5:13" x14ac:dyDescent="0.25">
      <c r="E616" s="37"/>
      <c r="F616" s="28"/>
      <c r="G616" s="28"/>
      <c r="H616" s="29"/>
      <c r="I616" s="29"/>
      <c r="J616" s="30"/>
      <c r="K616" s="30"/>
      <c r="L616" s="29"/>
      <c r="M616" s="31"/>
    </row>
    <row r="617" spans="5:13" x14ac:dyDescent="0.25">
      <c r="E617" s="37"/>
      <c r="F617" s="28"/>
      <c r="G617" s="28"/>
      <c r="H617" s="29"/>
      <c r="I617" s="29"/>
      <c r="J617" s="30"/>
      <c r="K617" s="30"/>
      <c r="L617" s="29"/>
      <c r="M617" s="31"/>
    </row>
    <row r="618" spans="5:13" x14ac:dyDescent="0.25">
      <c r="E618" s="37"/>
      <c r="F618" s="28"/>
      <c r="G618" s="28"/>
      <c r="H618" s="29"/>
      <c r="I618" s="29"/>
      <c r="J618" s="30"/>
      <c r="K618" s="30"/>
      <c r="L618" s="29"/>
      <c r="M618" s="31"/>
    </row>
    <row r="619" spans="5:13" x14ac:dyDescent="0.25">
      <c r="E619" s="37"/>
      <c r="F619" s="28"/>
      <c r="G619" s="28"/>
      <c r="H619" s="29"/>
      <c r="I619" s="29"/>
      <c r="J619" s="30"/>
      <c r="K619" s="30"/>
      <c r="L619" s="29"/>
      <c r="M619" s="31"/>
    </row>
    <row r="620" spans="5:13" x14ac:dyDescent="0.25">
      <c r="E620" s="37"/>
      <c r="F620" s="28"/>
      <c r="G620" s="28"/>
      <c r="H620" s="29"/>
      <c r="I620" s="29"/>
      <c r="J620" s="30"/>
      <c r="K620" s="30"/>
      <c r="L620" s="29"/>
      <c r="M620" s="31"/>
    </row>
    <row r="621" spans="5:13" x14ac:dyDescent="0.25">
      <c r="E621" s="37"/>
      <c r="F621" s="28"/>
      <c r="G621" s="28"/>
      <c r="H621" s="29"/>
      <c r="I621" s="29"/>
      <c r="J621" s="30"/>
      <c r="K621" s="30"/>
      <c r="L621" s="29"/>
      <c r="M621" s="31"/>
    </row>
    <row r="622" spans="5:13" x14ac:dyDescent="0.25">
      <c r="E622" s="37"/>
      <c r="F622" s="28"/>
      <c r="G622" s="28"/>
      <c r="H622" s="29"/>
      <c r="I622" s="29"/>
      <c r="J622" s="30"/>
      <c r="K622" s="30"/>
      <c r="L622" s="29"/>
      <c r="M622" s="31"/>
    </row>
    <row r="623" spans="5:13" x14ac:dyDescent="0.25">
      <c r="E623" s="37"/>
      <c r="F623" s="28"/>
      <c r="G623" s="28"/>
      <c r="H623" s="29"/>
      <c r="I623" s="29"/>
      <c r="J623" s="30"/>
      <c r="K623" s="30"/>
      <c r="L623" s="29"/>
      <c r="M623" s="31"/>
    </row>
    <row r="624" spans="5:13" x14ac:dyDescent="0.25">
      <c r="E624" s="37"/>
      <c r="F624" s="28"/>
      <c r="G624" s="28"/>
      <c r="H624" s="29"/>
      <c r="I624" s="29"/>
      <c r="J624" s="30"/>
      <c r="K624" s="30"/>
      <c r="L624" s="29"/>
      <c r="M624" s="31"/>
    </row>
    <row r="625" spans="5:15" x14ac:dyDescent="0.25">
      <c r="E625" s="37"/>
      <c r="F625" s="28"/>
      <c r="G625" s="28"/>
      <c r="H625" s="29"/>
      <c r="I625" s="29"/>
      <c r="J625" s="30"/>
      <c r="K625" s="30"/>
      <c r="L625" s="29"/>
      <c r="M625" s="31"/>
    </row>
    <row r="626" spans="5:15" x14ac:dyDescent="0.25">
      <c r="E626" s="37"/>
      <c r="F626" s="28"/>
      <c r="G626" s="28"/>
      <c r="H626" s="29"/>
      <c r="I626" s="29"/>
      <c r="J626" s="30"/>
      <c r="K626" s="30"/>
      <c r="L626" s="29"/>
      <c r="M626" s="31"/>
    </row>
    <row r="627" spans="5:15" x14ac:dyDescent="0.25">
      <c r="E627" s="37"/>
      <c r="F627" s="28"/>
      <c r="G627" s="28"/>
      <c r="H627" s="29"/>
      <c r="I627" s="29"/>
      <c r="J627" s="30"/>
      <c r="K627" s="30"/>
      <c r="L627" s="29"/>
      <c r="M627" s="31"/>
    </row>
    <row r="628" spans="5:15" x14ac:dyDescent="0.25">
      <c r="E628" s="37"/>
      <c r="F628" s="28"/>
      <c r="G628" s="28"/>
      <c r="H628" s="29"/>
      <c r="I628" s="29"/>
      <c r="J628" s="30"/>
      <c r="K628" s="30"/>
      <c r="L628" s="29"/>
      <c r="M628" s="31"/>
    </row>
    <row r="629" spans="5:15" x14ac:dyDescent="0.25">
      <c r="E629" s="37"/>
      <c r="F629" s="28"/>
      <c r="G629" s="28"/>
      <c r="H629" s="29"/>
      <c r="I629" s="29"/>
      <c r="J629" s="30"/>
      <c r="K629" s="30"/>
      <c r="L629" s="29"/>
      <c r="M629" s="31"/>
    </row>
    <row r="630" spans="5:15" x14ac:dyDescent="0.25">
      <c r="E630" s="37"/>
      <c r="F630" s="28"/>
      <c r="G630" s="28"/>
      <c r="H630" s="29"/>
      <c r="I630" s="29"/>
      <c r="J630" s="30"/>
      <c r="K630" s="30"/>
      <c r="L630" s="29"/>
      <c r="M630" s="31"/>
    </row>
    <row r="631" spans="5:15" x14ac:dyDescent="0.25">
      <c r="E631" s="37"/>
      <c r="F631" s="28"/>
      <c r="G631" s="28"/>
      <c r="H631" s="29"/>
      <c r="I631" s="29"/>
      <c r="J631" s="30"/>
      <c r="K631" s="30"/>
      <c r="L631" s="29"/>
      <c r="M631" s="31"/>
    </row>
    <row r="632" spans="5:15" x14ac:dyDescent="0.25">
      <c r="E632" s="37"/>
      <c r="F632" s="28"/>
      <c r="G632" s="28"/>
      <c r="H632" s="29"/>
      <c r="I632" s="29"/>
      <c r="J632" s="30"/>
      <c r="K632" s="30"/>
      <c r="L632" s="29"/>
      <c r="M632" s="31"/>
    </row>
    <row r="633" spans="5:15" x14ac:dyDescent="0.25">
      <c r="E633" s="37"/>
      <c r="F633" s="28"/>
      <c r="G633" s="28"/>
      <c r="H633" s="29"/>
      <c r="I633" s="29"/>
      <c r="J633" s="30"/>
      <c r="K633" s="30"/>
      <c r="L633" s="29"/>
      <c r="M633" s="31"/>
    </row>
    <row r="634" spans="5:15" ht="28.5" x14ac:dyDescent="0.25">
      <c r="E634" s="37">
        <v>46259</v>
      </c>
      <c r="F634" s="28" t="s">
        <v>17</v>
      </c>
      <c r="G634" s="28"/>
      <c r="H634" s="29" t="s">
        <v>138</v>
      </c>
      <c r="I634" s="29">
        <v>4</v>
      </c>
      <c r="J634" s="30">
        <v>12</v>
      </c>
      <c r="K634" s="30">
        <v>10</v>
      </c>
      <c r="L634" s="29"/>
      <c r="M634" s="31" t="s">
        <v>136</v>
      </c>
      <c r="N634" s="8" t="s">
        <v>78</v>
      </c>
      <c r="O634" s="8" t="s">
        <v>101</v>
      </c>
    </row>
    <row r="635" spans="5:15" x14ac:dyDescent="0.25">
      <c r="E635" s="37">
        <v>46260</v>
      </c>
      <c r="F635" s="28" t="s">
        <v>16</v>
      </c>
      <c r="G635" s="28" t="s">
        <v>139</v>
      </c>
      <c r="H635" s="29"/>
      <c r="I635" s="29"/>
      <c r="J635" s="30">
        <v>10</v>
      </c>
      <c r="K635" s="30">
        <v>9</v>
      </c>
      <c r="L635" s="29"/>
      <c r="M635" s="31"/>
    </row>
    <row r="636" spans="5:15" x14ac:dyDescent="0.25">
      <c r="E636" s="37">
        <v>46260</v>
      </c>
      <c r="F636" s="28" t="s">
        <v>16</v>
      </c>
      <c r="G636" s="28" t="s">
        <v>140</v>
      </c>
      <c r="H636" s="29"/>
      <c r="I636" s="29"/>
      <c r="J636" s="30">
        <v>6</v>
      </c>
      <c r="K636" s="30">
        <v>3</v>
      </c>
      <c r="L636" s="29"/>
      <c r="M636" s="31"/>
    </row>
    <row r="637" spans="5:15" x14ac:dyDescent="0.25">
      <c r="E637" s="37">
        <v>46260</v>
      </c>
      <c r="F637" s="28" t="s">
        <v>16</v>
      </c>
      <c r="G637" s="28" t="s">
        <v>141</v>
      </c>
      <c r="H637" s="29"/>
      <c r="I637" s="29"/>
      <c r="J637" s="30">
        <v>3</v>
      </c>
      <c r="K637" s="30">
        <v>3</v>
      </c>
      <c r="L637" s="29"/>
      <c r="M637" s="31"/>
    </row>
    <row r="638" spans="5:15" x14ac:dyDescent="0.25">
      <c r="E638" s="37">
        <v>46260</v>
      </c>
      <c r="F638" s="28" t="s">
        <v>16</v>
      </c>
      <c r="G638" s="28" t="s">
        <v>142</v>
      </c>
      <c r="H638" s="29"/>
      <c r="I638" s="29"/>
      <c r="J638" s="30">
        <v>10</v>
      </c>
      <c r="K638" s="30">
        <v>8</v>
      </c>
      <c r="L638" s="29"/>
      <c r="M638" s="31"/>
    </row>
    <row r="639" spans="5:15" x14ac:dyDescent="0.25">
      <c r="E639" s="37">
        <v>46260</v>
      </c>
      <c r="F639" s="28" t="s">
        <v>17</v>
      </c>
      <c r="G639" s="28"/>
      <c r="H639" s="29" t="s">
        <v>138</v>
      </c>
      <c r="I639" s="29"/>
      <c r="J639" s="30">
        <v>12</v>
      </c>
      <c r="K639" s="30">
        <v>8</v>
      </c>
      <c r="L639" s="29"/>
      <c r="M639" s="31" t="s">
        <v>136</v>
      </c>
    </row>
    <row r="640" spans="5:15" x14ac:dyDescent="0.25">
      <c r="E640" s="37">
        <v>46260</v>
      </c>
      <c r="F640" s="28" t="s">
        <v>17</v>
      </c>
      <c r="G640" s="28"/>
      <c r="H640" s="29" t="s">
        <v>143</v>
      </c>
      <c r="I640" s="29"/>
      <c r="J640" s="30">
        <v>10</v>
      </c>
      <c r="K640" s="30">
        <v>6</v>
      </c>
      <c r="L640" s="29"/>
      <c r="M640" s="31" t="s">
        <v>136</v>
      </c>
    </row>
    <row r="641" spans="5:13" x14ac:dyDescent="0.25">
      <c r="E641" s="37">
        <v>46260</v>
      </c>
      <c r="F641" s="28" t="s">
        <v>18</v>
      </c>
      <c r="G641" s="28"/>
      <c r="H641" s="29" t="s">
        <v>144</v>
      </c>
      <c r="I641" s="29"/>
      <c r="J641" s="30">
        <v>8</v>
      </c>
      <c r="K641" s="30">
        <v>6</v>
      </c>
      <c r="L641" s="29"/>
      <c r="M641" s="31" t="s">
        <v>136</v>
      </c>
    </row>
    <row r="642" spans="5:13" x14ac:dyDescent="0.25">
      <c r="E642" s="37">
        <v>46260</v>
      </c>
      <c r="F642" s="28" t="s">
        <v>17</v>
      </c>
      <c r="G642" s="28"/>
      <c r="H642" s="29" t="s">
        <v>145</v>
      </c>
      <c r="I642" s="29"/>
      <c r="J642" s="30">
        <v>10</v>
      </c>
      <c r="K642" s="30">
        <v>6</v>
      </c>
      <c r="L642" s="29"/>
      <c r="M642" s="31" t="s">
        <v>136</v>
      </c>
    </row>
    <row r="643" spans="5:13" x14ac:dyDescent="0.25">
      <c r="E643" s="37">
        <v>46260</v>
      </c>
      <c r="F643" s="28" t="s">
        <v>18</v>
      </c>
      <c r="G643" s="28"/>
      <c r="H643" s="29" t="s">
        <v>146</v>
      </c>
      <c r="I643" s="29"/>
      <c r="J643" s="30">
        <v>4</v>
      </c>
      <c r="K643" s="30">
        <v>0</v>
      </c>
      <c r="L643" s="29"/>
      <c r="M643" s="31" t="s">
        <v>136</v>
      </c>
    </row>
    <row r="644" spans="5:13" x14ac:dyDescent="0.25">
      <c r="E644" s="37">
        <v>46260</v>
      </c>
      <c r="F644" s="28" t="s">
        <v>19</v>
      </c>
      <c r="G644" s="28"/>
      <c r="H644" s="29" t="s">
        <v>147</v>
      </c>
      <c r="I644" s="29"/>
      <c r="J644" s="30">
        <v>5</v>
      </c>
      <c r="K644" s="30">
        <v>1</v>
      </c>
      <c r="L644" s="29"/>
      <c r="M644" s="31" t="s">
        <v>136</v>
      </c>
    </row>
    <row r="645" spans="5:13" x14ac:dyDescent="0.25">
      <c r="E645" s="37">
        <v>46260</v>
      </c>
      <c r="F645" s="28" t="s">
        <v>19</v>
      </c>
      <c r="G645" s="28"/>
      <c r="H645" s="29" t="s">
        <v>148</v>
      </c>
      <c r="I645" s="29"/>
      <c r="J645" s="30">
        <v>5</v>
      </c>
      <c r="K645" s="30">
        <v>5</v>
      </c>
      <c r="L645" s="29"/>
      <c r="M645" s="31"/>
    </row>
    <row r="646" spans="5:13" x14ac:dyDescent="0.25">
      <c r="E646" s="37">
        <v>46260</v>
      </c>
      <c r="F646" s="28" t="s">
        <v>51</v>
      </c>
      <c r="G646" s="28"/>
      <c r="H646" s="29" t="s">
        <v>149</v>
      </c>
      <c r="I646" s="29"/>
      <c r="J646" s="30">
        <v>5</v>
      </c>
      <c r="K646" s="30">
        <v>0</v>
      </c>
      <c r="L646" s="29"/>
      <c r="M646" s="31" t="s">
        <v>136</v>
      </c>
    </row>
    <row r="647" spans="5:13" x14ac:dyDescent="0.25">
      <c r="E647" s="37">
        <v>46260</v>
      </c>
      <c r="F647" s="28" t="s">
        <v>51</v>
      </c>
      <c r="G647" s="28"/>
      <c r="H647" s="29" t="s">
        <v>150</v>
      </c>
      <c r="I647" s="29"/>
      <c r="J647" s="30">
        <v>5</v>
      </c>
      <c r="K647" s="30">
        <v>6</v>
      </c>
      <c r="L647" s="29"/>
      <c r="M647" s="31"/>
    </row>
    <row r="648" spans="5:13" x14ac:dyDescent="0.25">
      <c r="E648" s="37">
        <v>46260</v>
      </c>
      <c r="F648" s="28" t="s">
        <v>21</v>
      </c>
      <c r="G648" s="28"/>
      <c r="H648" s="29" t="s">
        <v>151</v>
      </c>
      <c r="I648" s="29"/>
      <c r="J648" s="30">
        <v>4</v>
      </c>
      <c r="K648" s="30">
        <v>1</v>
      </c>
      <c r="L648" s="29"/>
      <c r="M648" s="31" t="s">
        <v>136</v>
      </c>
    </row>
    <row r="649" spans="5:13" x14ac:dyDescent="0.25">
      <c r="E649" s="37">
        <v>46260</v>
      </c>
      <c r="F649" s="28" t="s">
        <v>21</v>
      </c>
      <c r="G649" s="28"/>
      <c r="H649" s="29" t="s">
        <v>152</v>
      </c>
      <c r="I649" s="29"/>
      <c r="J649" s="30">
        <v>5</v>
      </c>
      <c r="K649" s="30">
        <v>5</v>
      </c>
      <c r="L649" s="29"/>
      <c r="M649" s="31"/>
    </row>
    <row r="650" spans="5:13" x14ac:dyDescent="0.25">
      <c r="E650" s="37">
        <v>46260</v>
      </c>
      <c r="F650" s="28" t="s">
        <v>21</v>
      </c>
      <c r="G650" s="28"/>
      <c r="H650" s="29" t="s">
        <v>153</v>
      </c>
      <c r="I650" s="29"/>
      <c r="J650" s="30">
        <v>4</v>
      </c>
      <c r="K650" s="30">
        <v>0</v>
      </c>
      <c r="L650" s="29"/>
      <c r="M650" s="31" t="s">
        <v>136</v>
      </c>
    </row>
    <row r="651" spans="5:13" x14ac:dyDescent="0.25">
      <c r="E651" s="37">
        <v>46260</v>
      </c>
      <c r="F651" s="28" t="s">
        <v>21</v>
      </c>
      <c r="G651" s="28"/>
      <c r="H651" s="29" t="s">
        <v>154</v>
      </c>
      <c r="I651" s="29"/>
      <c r="J651" s="30">
        <v>25</v>
      </c>
      <c r="K651" s="30">
        <v>25</v>
      </c>
      <c r="L651" s="29"/>
      <c r="M651" s="31"/>
    </row>
    <row r="652" spans="5:13" x14ac:dyDescent="0.25">
      <c r="E652" s="37">
        <v>46260</v>
      </c>
      <c r="F652" s="28" t="s">
        <v>21</v>
      </c>
      <c r="G652" s="28"/>
      <c r="H652" s="29" t="s">
        <v>155</v>
      </c>
      <c r="I652" s="29"/>
      <c r="J652" s="30">
        <v>20</v>
      </c>
      <c r="K652" s="30">
        <v>8</v>
      </c>
      <c r="L652" s="29"/>
      <c r="M652" s="31" t="s">
        <v>136</v>
      </c>
    </row>
    <row r="653" spans="5:13" x14ac:dyDescent="0.25">
      <c r="E653" s="37">
        <v>46260</v>
      </c>
      <c r="F653" s="28" t="s">
        <v>21</v>
      </c>
      <c r="G653" s="28"/>
      <c r="H653" s="29" t="s">
        <v>156</v>
      </c>
      <c r="I653" s="29"/>
      <c r="J653" s="30">
        <v>6</v>
      </c>
      <c r="K653" s="30">
        <v>4</v>
      </c>
      <c r="L653" s="29"/>
      <c r="M653" s="31" t="s">
        <v>136</v>
      </c>
    </row>
    <row r="654" spans="5:13" x14ac:dyDescent="0.25">
      <c r="E654" s="37">
        <v>46260</v>
      </c>
      <c r="F654" s="28" t="s">
        <v>21</v>
      </c>
      <c r="G654" s="28"/>
      <c r="H654" s="29" t="s">
        <v>157</v>
      </c>
      <c r="I654" s="29"/>
      <c r="J654" s="30">
        <v>4</v>
      </c>
      <c r="K654" s="30">
        <v>2</v>
      </c>
      <c r="L654" s="29"/>
      <c r="M654" s="31" t="s">
        <v>136</v>
      </c>
    </row>
    <row r="655" spans="5:13" x14ac:dyDescent="0.25">
      <c r="E655" s="37">
        <v>46260</v>
      </c>
      <c r="F655" s="28" t="s">
        <v>21</v>
      </c>
      <c r="G655" s="28"/>
      <c r="H655" s="29" t="s">
        <v>158</v>
      </c>
      <c r="I655" s="29"/>
      <c r="J655" s="30">
        <v>20</v>
      </c>
      <c r="K655" s="30">
        <v>16</v>
      </c>
      <c r="L655" s="29"/>
      <c r="M655" s="31" t="s">
        <v>136</v>
      </c>
    </row>
    <row r="656" spans="5:13" x14ac:dyDescent="0.25">
      <c r="E656" s="37">
        <v>46260</v>
      </c>
      <c r="F656" s="28" t="s">
        <v>22</v>
      </c>
      <c r="G656" s="28"/>
      <c r="H656" s="29" t="s">
        <v>159</v>
      </c>
      <c r="I656" s="29"/>
      <c r="J656" s="30">
        <v>10</v>
      </c>
      <c r="K656" s="30">
        <v>7</v>
      </c>
      <c r="L656" s="29"/>
      <c r="M656" s="31" t="s">
        <v>136</v>
      </c>
    </row>
    <row r="657" spans="5:14" x14ac:dyDescent="0.25">
      <c r="E657" s="37">
        <v>46260</v>
      </c>
      <c r="F657" s="28" t="s">
        <v>22</v>
      </c>
      <c r="G657" s="28"/>
      <c r="H657" s="29" t="s">
        <v>160</v>
      </c>
      <c r="I657" s="29"/>
      <c r="J657" s="30">
        <v>10</v>
      </c>
      <c r="K657" s="30">
        <v>2</v>
      </c>
      <c r="L657" s="29"/>
      <c r="M657" s="31" t="s">
        <v>136</v>
      </c>
      <c r="N657" s="8" t="s">
        <v>78</v>
      </c>
    </row>
    <row r="658" spans="5:14" x14ac:dyDescent="0.25">
      <c r="E658" s="37">
        <v>46260</v>
      </c>
      <c r="F658" s="28" t="s">
        <v>23</v>
      </c>
      <c r="G658" s="28"/>
      <c r="H658" s="29" t="s">
        <v>161</v>
      </c>
      <c r="I658" s="29"/>
      <c r="J658" s="30">
        <v>6</v>
      </c>
      <c r="K658" s="30">
        <v>1</v>
      </c>
      <c r="L658" s="29"/>
      <c r="M658" s="31" t="s">
        <v>40</v>
      </c>
    </row>
    <row r="659" spans="5:14" x14ac:dyDescent="0.25">
      <c r="E659" s="37">
        <v>46260</v>
      </c>
      <c r="F659" s="28" t="s">
        <v>49</v>
      </c>
      <c r="G659" s="28"/>
      <c r="H659" s="29" t="s">
        <v>162</v>
      </c>
      <c r="I659" s="29"/>
      <c r="J659" s="30">
        <v>6</v>
      </c>
      <c r="K659" s="30">
        <v>2</v>
      </c>
      <c r="L659" s="29"/>
      <c r="M659" s="31" t="s">
        <v>136</v>
      </c>
    </row>
    <row r="660" spans="5:14" x14ac:dyDescent="0.25">
      <c r="E660" s="37">
        <v>46260</v>
      </c>
      <c r="F660" s="28" t="s">
        <v>25</v>
      </c>
      <c r="G660" s="28"/>
      <c r="H660" s="29" t="s">
        <v>163</v>
      </c>
      <c r="I660" s="29"/>
      <c r="J660" s="30">
        <v>6</v>
      </c>
      <c r="K660" s="30">
        <v>3</v>
      </c>
      <c r="L660" s="29"/>
      <c r="M660" s="31" t="s">
        <v>40</v>
      </c>
    </row>
    <row r="661" spans="5:14" x14ac:dyDescent="0.25">
      <c r="E661" s="37">
        <v>46260</v>
      </c>
      <c r="F661" s="28" t="s">
        <v>26</v>
      </c>
      <c r="G661" s="28"/>
      <c r="H661" s="29" t="s">
        <v>164</v>
      </c>
      <c r="I661" s="29"/>
      <c r="J661" s="30">
        <v>10</v>
      </c>
      <c r="K661" s="30">
        <v>5</v>
      </c>
      <c r="L661" s="29"/>
      <c r="M661" s="31" t="s">
        <v>136</v>
      </c>
    </row>
    <row r="662" spans="5:14" x14ac:dyDescent="0.25">
      <c r="E662" s="37">
        <v>46260</v>
      </c>
      <c r="F662" s="28" t="s">
        <v>165</v>
      </c>
      <c r="G662" s="28"/>
      <c r="H662" s="29" t="s">
        <v>166</v>
      </c>
      <c r="I662" s="29"/>
      <c r="J662" s="30">
        <v>5</v>
      </c>
      <c r="K662" s="30">
        <v>1</v>
      </c>
      <c r="L662" s="29"/>
      <c r="M662" s="31" t="s">
        <v>136</v>
      </c>
    </row>
    <row r="663" spans="5:14" x14ac:dyDescent="0.25">
      <c r="E663" s="37">
        <v>46260</v>
      </c>
      <c r="F663" s="28" t="s">
        <v>26</v>
      </c>
      <c r="G663" s="28"/>
      <c r="H663" s="29" t="s">
        <v>167</v>
      </c>
      <c r="I663" s="29"/>
      <c r="J663" s="30">
        <v>3</v>
      </c>
      <c r="K663" s="30">
        <v>2</v>
      </c>
      <c r="L663" s="29"/>
      <c r="M663" s="31" t="s">
        <v>136</v>
      </c>
    </row>
    <row r="664" spans="5:14" x14ac:dyDescent="0.25">
      <c r="E664" s="37">
        <v>46260</v>
      </c>
      <c r="F664" s="28" t="s">
        <v>26</v>
      </c>
      <c r="G664" s="28"/>
      <c r="H664" s="29" t="s">
        <v>168</v>
      </c>
      <c r="I664" s="29"/>
      <c r="J664" s="30">
        <v>5</v>
      </c>
      <c r="K664" s="30">
        <v>1</v>
      </c>
      <c r="L664" s="29"/>
      <c r="M664" s="31" t="s">
        <v>169</v>
      </c>
    </row>
    <row r="665" spans="5:14" x14ac:dyDescent="0.25">
      <c r="E665" s="37">
        <v>46260</v>
      </c>
      <c r="F665" s="28" t="s">
        <v>26</v>
      </c>
      <c r="G665" s="28"/>
      <c r="H665" s="29" t="s">
        <v>170</v>
      </c>
      <c r="I665" s="29"/>
      <c r="J665" s="30">
        <v>4</v>
      </c>
      <c r="K665" s="30">
        <v>4</v>
      </c>
      <c r="L665" s="29"/>
      <c r="M665" s="31"/>
    </row>
    <row r="666" spans="5:14" x14ac:dyDescent="0.25">
      <c r="E666" s="37">
        <v>46261</v>
      </c>
      <c r="F666" s="28" t="s">
        <v>16</v>
      </c>
      <c r="G666" s="28" t="s">
        <v>139</v>
      </c>
      <c r="H666" s="29"/>
      <c r="I666" s="29"/>
      <c r="J666" s="30">
        <v>10</v>
      </c>
      <c r="K666" s="30">
        <v>8</v>
      </c>
      <c r="L666" s="29"/>
      <c r="M666" s="31"/>
    </row>
    <row r="667" spans="5:14" x14ac:dyDescent="0.25">
      <c r="E667" s="37">
        <v>46261</v>
      </c>
      <c r="F667" s="28" t="s">
        <v>16</v>
      </c>
      <c r="G667" s="28" t="s">
        <v>140</v>
      </c>
      <c r="H667" s="29"/>
      <c r="I667" s="29"/>
      <c r="J667" s="30">
        <v>6</v>
      </c>
      <c r="K667" s="30">
        <v>3</v>
      </c>
      <c r="L667" s="29"/>
      <c r="M667" s="31"/>
    </row>
    <row r="668" spans="5:14" x14ac:dyDescent="0.25">
      <c r="E668" s="37">
        <v>46261</v>
      </c>
      <c r="F668" s="28" t="s">
        <v>16</v>
      </c>
      <c r="G668" s="28" t="s">
        <v>141</v>
      </c>
      <c r="H668" s="29"/>
      <c r="I668" s="29"/>
      <c r="J668" s="30">
        <v>3</v>
      </c>
      <c r="K668" s="30">
        <v>3</v>
      </c>
      <c r="L668" s="29"/>
      <c r="M668" s="31"/>
    </row>
    <row r="669" spans="5:14" x14ac:dyDescent="0.25">
      <c r="E669" s="37">
        <v>46261</v>
      </c>
      <c r="F669" s="28" t="s">
        <v>16</v>
      </c>
      <c r="G669" s="28" t="s">
        <v>142</v>
      </c>
      <c r="H669" s="29"/>
      <c r="I669" s="29"/>
      <c r="J669" s="30">
        <v>10</v>
      </c>
      <c r="K669" s="30">
        <v>10</v>
      </c>
      <c r="L669" s="29"/>
      <c r="M669" s="31"/>
    </row>
    <row r="670" spans="5:14" x14ac:dyDescent="0.25">
      <c r="E670" s="37">
        <v>46261</v>
      </c>
      <c r="F670" s="28" t="s">
        <v>17</v>
      </c>
      <c r="G670" s="28"/>
      <c r="H670" s="29" t="s">
        <v>138</v>
      </c>
      <c r="I670" s="29"/>
      <c r="J670" s="30">
        <v>12</v>
      </c>
      <c r="K670" s="30">
        <v>8</v>
      </c>
      <c r="L670" s="29"/>
      <c r="M670" s="31" t="s">
        <v>136</v>
      </c>
    </row>
    <row r="671" spans="5:14" x14ac:dyDescent="0.25">
      <c r="E671" s="37">
        <v>46261</v>
      </c>
      <c r="F671" s="28" t="s">
        <v>17</v>
      </c>
      <c r="G671" s="28"/>
      <c r="H671" s="29" t="s">
        <v>143</v>
      </c>
      <c r="I671" s="29"/>
      <c r="J671" s="30">
        <v>6</v>
      </c>
      <c r="K671" s="30">
        <v>6</v>
      </c>
      <c r="L671" s="29"/>
      <c r="M671" s="31"/>
    </row>
    <row r="672" spans="5:14" x14ac:dyDescent="0.25">
      <c r="E672" s="37">
        <v>46261</v>
      </c>
      <c r="F672" s="28" t="s">
        <v>18</v>
      </c>
      <c r="G672" s="28"/>
      <c r="H672" s="29" t="s">
        <v>144</v>
      </c>
      <c r="I672" s="29"/>
      <c r="J672" s="30">
        <v>8</v>
      </c>
      <c r="K672" s="30">
        <v>6</v>
      </c>
      <c r="L672" s="29"/>
      <c r="M672" s="31" t="s">
        <v>171</v>
      </c>
    </row>
    <row r="673" spans="5:14" x14ac:dyDescent="0.25">
      <c r="E673" s="37">
        <v>46261</v>
      </c>
      <c r="F673" s="28" t="s">
        <v>17</v>
      </c>
      <c r="G673" s="28"/>
      <c r="H673" s="29" t="s">
        <v>145</v>
      </c>
      <c r="I673" s="29"/>
      <c r="J673" s="30">
        <v>7</v>
      </c>
      <c r="K673" s="30">
        <v>7</v>
      </c>
      <c r="L673" s="29"/>
      <c r="M673" s="31"/>
    </row>
    <row r="674" spans="5:14" x14ac:dyDescent="0.25">
      <c r="E674" s="37">
        <v>46261</v>
      </c>
      <c r="F674" s="28" t="s">
        <v>19</v>
      </c>
      <c r="G674" s="28"/>
      <c r="H674" s="29" t="s">
        <v>147</v>
      </c>
      <c r="I674" s="29"/>
      <c r="J674" s="30">
        <v>5</v>
      </c>
      <c r="K674" s="30">
        <v>1</v>
      </c>
      <c r="L674" s="29"/>
      <c r="M674" s="31" t="s">
        <v>136</v>
      </c>
      <c r="N674" s="8" t="s">
        <v>78</v>
      </c>
    </row>
    <row r="675" spans="5:14" x14ac:dyDescent="0.25">
      <c r="E675" s="37">
        <v>46261</v>
      </c>
      <c r="F675" s="28" t="s">
        <v>19</v>
      </c>
      <c r="G675" s="28"/>
      <c r="H675" s="29" t="s">
        <v>148</v>
      </c>
      <c r="I675" s="29"/>
      <c r="J675" s="30">
        <v>5</v>
      </c>
      <c r="K675" s="30">
        <v>5</v>
      </c>
      <c r="L675" s="29"/>
      <c r="M675" s="31"/>
    </row>
    <row r="676" spans="5:14" x14ac:dyDescent="0.25">
      <c r="E676" s="37">
        <v>46261</v>
      </c>
      <c r="F676" s="28" t="s">
        <v>51</v>
      </c>
      <c r="G676" s="28"/>
      <c r="H676" s="29" t="s">
        <v>150</v>
      </c>
      <c r="I676" s="29"/>
      <c r="J676" s="30">
        <v>5</v>
      </c>
      <c r="K676" s="30">
        <v>6</v>
      </c>
      <c r="L676" s="29"/>
      <c r="M676" s="31"/>
    </row>
    <row r="677" spans="5:14" x14ac:dyDescent="0.25">
      <c r="E677" s="37">
        <v>46261</v>
      </c>
      <c r="F677" s="28" t="s">
        <v>21</v>
      </c>
      <c r="G677" s="28"/>
      <c r="H677" s="29" t="s">
        <v>151</v>
      </c>
      <c r="I677" s="29"/>
      <c r="J677" s="30">
        <v>4</v>
      </c>
      <c r="K677" s="30">
        <v>4</v>
      </c>
      <c r="L677" s="29"/>
      <c r="M677" s="31"/>
    </row>
    <row r="678" spans="5:14" x14ac:dyDescent="0.25">
      <c r="E678" s="37">
        <v>46261</v>
      </c>
      <c r="F678" s="28" t="s">
        <v>21</v>
      </c>
      <c r="G678" s="28"/>
      <c r="H678" s="29" t="s">
        <v>152</v>
      </c>
      <c r="I678" s="29"/>
      <c r="J678" s="30">
        <v>5</v>
      </c>
      <c r="K678" s="30">
        <v>7</v>
      </c>
      <c r="L678" s="29"/>
      <c r="M678" s="31"/>
    </row>
    <row r="679" spans="5:14" x14ac:dyDescent="0.25">
      <c r="E679" s="37">
        <v>46261</v>
      </c>
      <c r="F679" s="28" t="s">
        <v>21</v>
      </c>
      <c r="G679" s="28"/>
      <c r="H679" s="29" t="s">
        <v>154</v>
      </c>
      <c r="I679" s="29"/>
      <c r="J679" s="30">
        <v>30</v>
      </c>
      <c r="K679" s="30">
        <v>26</v>
      </c>
      <c r="L679" s="29"/>
      <c r="M679" s="31" t="s">
        <v>171</v>
      </c>
    </row>
    <row r="680" spans="5:14" x14ac:dyDescent="0.25">
      <c r="E680" s="37">
        <v>46261</v>
      </c>
      <c r="F680" s="28" t="s">
        <v>21</v>
      </c>
      <c r="G680" s="28"/>
      <c r="H680" s="29" t="s">
        <v>155</v>
      </c>
      <c r="I680" s="29"/>
      <c r="J680" s="30">
        <v>15</v>
      </c>
      <c r="K680" s="30">
        <v>8</v>
      </c>
      <c r="L680" s="29"/>
      <c r="M680" s="31" t="s">
        <v>136</v>
      </c>
    </row>
    <row r="681" spans="5:14" x14ac:dyDescent="0.25">
      <c r="E681" s="37">
        <v>46261</v>
      </c>
      <c r="F681" s="28" t="s">
        <v>21</v>
      </c>
      <c r="G681" s="28"/>
      <c r="H681" s="29" t="s">
        <v>156</v>
      </c>
      <c r="I681" s="29"/>
      <c r="J681" s="30">
        <v>6</v>
      </c>
      <c r="K681" s="30">
        <v>7</v>
      </c>
      <c r="L681" s="29"/>
      <c r="M681" s="31"/>
    </row>
    <row r="682" spans="5:14" x14ac:dyDescent="0.25">
      <c r="E682" s="37">
        <v>46261</v>
      </c>
      <c r="F682" s="28" t="s">
        <v>21</v>
      </c>
      <c r="G682" s="28"/>
      <c r="H682" s="29" t="s">
        <v>158</v>
      </c>
      <c r="I682" s="29"/>
      <c r="J682" s="30">
        <v>22</v>
      </c>
      <c r="K682" s="30">
        <v>16</v>
      </c>
      <c r="L682" s="29"/>
      <c r="M682" s="31" t="s">
        <v>171</v>
      </c>
    </row>
    <row r="683" spans="5:14" x14ac:dyDescent="0.25">
      <c r="E683" s="37">
        <v>46261</v>
      </c>
      <c r="F683" s="28" t="s">
        <v>22</v>
      </c>
      <c r="G683" s="28"/>
      <c r="H683" s="29" t="s">
        <v>159</v>
      </c>
      <c r="I683" s="29"/>
      <c r="J683" s="30">
        <v>10</v>
      </c>
      <c r="K683" s="30">
        <v>7</v>
      </c>
      <c r="L683" s="29"/>
      <c r="M683" s="31" t="s">
        <v>136</v>
      </c>
      <c r="N683" s="8" t="s">
        <v>78</v>
      </c>
    </row>
    <row r="684" spans="5:14" x14ac:dyDescent="0.25">
      <c r="E684" s="37">
        <v>46261</v>
      </c>
      <c r="F684" s="28" t="s">
        <v>22</v>
      </c>
      <c r="G684" s="28"/>
      <c r="H684" s="29" t="s">
        <v>160</v>
      </c>
      <c r="I684" s="29"/>
      <c r="J684" s="30">
        <v>10</v>
      </c>
      <c r="K684" s="30">
        <v>2</v>
      </c>
      <c r="L684" s="29"/>
      <c r="M684" s="31" t="s">
        <v>136</v>
      </c>
      <c r="N684" s="8" t="s">
        <v>78</v>
      </c>
    </row>
    <row r="685" spans="5:14" x14ac:dyDescent="0.25">
      <c r="E685" s="37">
        <v>46261</v>
      </c>
      <c r="F685" s="28" t="s">
        <v>23</v>
      </c>
      <c r="G685" s="28"/>
      <c r="H685" s="29" t="s">
        <v>161</v>
      </c>
      <c r="I685" s="29"/>
      <c r="J685" s="30">
        <v>6</v>
      </c>
      <c r="K685" s="30">
        <v>2</v>
      </c>
      <c r="L685" s="29"/>
      <c r="M685" s="31" t="s">
        <v>40</v>
      </c>
    </row>
    <row r="686" spans="5:14" x14ac:dyDescent="0.25">
      <c r="E686" s="37">
        <v>46261</v>
      </c>
      <c r="F686" s="28" t="s">
        <v>49</v>
      </c>
      <c r="G686" s="28"/>
      <c r="H686" s="29" t="s">
        <v>162</v>
      </c>
      <c r="I686" s="29"/>
      <c r="J686" s="30">
        <v>6</v>
      </c>
      <c r="K686" s="30">
        <v>2</v>
      </c>
      <c r="L686" s="29"/>
      <c r="M686" s="31" t="s">
        <v>136</v>
      </c>
    </row>
    <row r="687" spans="5:14" x14ac:dyDescent="0.25">
      <c r="E687" s="37">
        <v>46261</v>
      </c>
      <c r="F687" s="28" t="s">
        <v>25</v>
      </c>
      <c r="G687" s="28"/>
      <c r="H687" s="29" t="s">
        <v>164</v>
      </c>
      <c r="I687" s="29"/>
      <c r="J687" s="30">
        <v>1</v>
      </c>
      <c r="K687" s="30">
        <v>0</v>
      </c>
      <c r="L687" s="29"/>
      <c r="M687" s="31" t="s">
        <v>136</v>
      </c>
    </row>
    <row r="688" spans="5:14" x14ac:dyDescent="0.25">
      <c r="E688" s="37">
        <v>46261</v>
      </c>
      <c r="F688" s="28" t="s">
        <v>25</v>
      </c>
      <c r="G688" s="28"/>
      <c r="H688" s="29" t="s">
        <v>163</v>
      </c>
      <c r="I688" s="29"/>
      <c r="J688" s="30">
        <v>6</v>
      </c>
      <c r="K688" s="30">
        <v>3</v>
      </c>
      <c r="L688" s="29"/>
      <c r="M688" s="31" t="s">
        <v>136</v>
      </c>
    </row>
    <row r="689" spans="5:14" x14ac:dyDescent="0.25">
      <c r="E689" s="37">
        <v>46261</v>
      </c>
      <c r="F689" s="28" t="s">
        <v>26</v>
      </c>
      <c r="G689" s="28"/>
      <c r="H689" s="29" t="s">
        <v>164</v>
      </c>
      <c r="I689" s="29"/>
      <c r="J689" s="30">
        <v>10</v>
      </c>
      <c r="K689" s="30">
        <v>7</v>
      </c>
      <c r="L689" s="29"/>
      <c r="M689" s="31" t="s">
        <v>136</v>
      </c>
      <c r="N689" s="8" t="s">
        <v>78</v>
      </c>
    </row>
    <row r="690" spans="5:14" x14ac:dyDescent="0.25">
      <c r="E690" s="37">
        <v>46261</v>
      </c>
      <c r="F690" s="28" t="s">
        <v>165</v>
      </c>
      <c r="G690" s="28"/>
      <c r="H690" s="29" t="s">
        <v>166</v>
      </c>
      <c r="I690" s="29"/>
      <c r="J690" s="30">
        <v>5</v>
      </c>
      <c r="K690" s="30">
        <v>1</v>
      </c>
      <c r="L690" s="29"/>
      <c r="M690" s="31" t="s">
        <v>136</v>
      </c>
    </row>
    <row r="691" spans="5:14" x14ac:dyDescent="0.25">
      <c r="E691" s="37">
        <v>46261</v>
      </c>
      <c r="F691" s="28" t="s">
        <v>26</v>
      </c>
      <c r="G691" s="28"/>
      <c r="H691" s="29" t="s">
        <v>167</v>
      </c>
      <c r="I691" s="29"/>
      <c r="J691" s="30">
        <v>3</v>
      </c>
      <c r="K691" s="30">
        <v>2</v>
      </c>
      <c r="L691" s="29"/>
      <c r="M691" s="31" t="s">
        <v>136</v>
      </c>
    </row>
    <row r="692" spans="5:14" x14ac:dyDescent="0.25">
      <c r="E692" s="37">
        <v>46261</v>
      </c>
      <c r="F692" s="28" t="s">
        <v>26</v>
      </c>
      <c r="G692" s="28"/>
      <c r="H692" s="29" t="s">
        <v>168</v>
      </c>
      <c r="I692" s="29"/>
      <c r="J692" s="30">
        <v>5</v>
      </c>
      <c r="K692" s="30">
        <v>1</v>
      </c>
      <c r="L692" s="29"/>
      <c r="M692" s="31" t="s">
        <v>169</v>
      </c>
    </row>
    <row r="693" spans="5:14" x14ac:dyDescent="0.25">
      <c r="E693" s="37">
        <v>46261</v>
      </c>
      <c r="F693" s="28" t="s">
        <v>26</v>
      </c>
      <c r="G693" s="28"/>
      <c r="H693" s="29" t="s">
        <v>170</v>
      </c>
      <c r="I693" s="29"/>
      <c r="J693" s="30">
        <v>4</v>
      </c>
      <c r="K693" s="30">
        <v>4</v>
      </c>
      <c r="L693" s="29"/>
      <c r="M693" s="31"/>
    </row>
    <row r="694" spans="5:14" x14ac:dyDescent="0.25">
      <c r="E694" s="37">
        <v>46262</v>
      </c>
      <c r="F694" s="28" t="s">
        <v>16</v>
      </c>
      <c r="G694" s="28" t="s">
        <v>139</v>
      </c>
      <c r="H694" s="29"/>
      <c r="I694" s="29"/>
      <c r="J694" s="30">
        <v>10</v>
      </c>
      <c r="K694" s="30">
        <v>9</v>
      </c>
      <c r="L694" s="29"/>
      <c r="M694" s="31"/>
    </row>
    <row r="695" spans="5:14" x14ac:dyDescent="0.25">
      <c r="E695" s="37">
        <v>46262</v>
      </c>
      <c r="F695" s="28" t="s">
        <v>16</v>
      </c>
      <c r="G695" s="28" t="s">
        <v>140</v>
      </c>
      <c r="H695" s="29"/>
      <c r="I695" s="29"/>
      <c r="J695" s="30">
        <v>6</v>
      </c>
      <c r="K695" s="30">
        <v>3</v>
      </c>
      <c r="L695" s="29"/>
      <c r="M695" s="31" t="s">
        <v>179</v>
      </c>
    </row>
    <row r="696" spans="5:14" x14ac:dyDescent="0.25">
      <c r="E696" s="37">
        <v>46262</v>
      </c>
      <c r="F696" s="28" t="s">
        <v>16</v>
      </c>
      <c r="G696" s="28" t="s">
        <v>141</v>
      </c>
      <c r="H696" s="29"/>
      <c r="I696" s="29"/>
      <c r="J696" s="30">
        <v>3</v>
      </c>
      <c r="K696" s="30">
        <v>3</v>
      </c>
      <c r="L696" s="29"/>
      <c r="M696" s="31"/>
    </row>
    <row r="697" spans="5:14" x14ac:dyDescent="0.25">
      <c r="E697" s="37">
        <v>46262</v>
      </c>
      <c r="F697" s="28" t="s">
        <v>16</v>
      </c>
      <c r="G697" s="28" t="s">
        <v>142</v>
      </c>
      <c r="H697" s="29"/>
      <c r="I697" s="29"/>
      <c r="J697" s="30">
        <v>10</v>
      </c>
      <c r="K697" s="30">
        <v>10</v>
      </c>
      <c r="L697" s="29"/>
      <c r="M697" s="31"/>
    </row>
    <row r="698" spans="5:14" ht="28.5" x14ac:dyDescent="0.25">
      <c r="E698" s="37">
        <v>46262</v>
      </c>
      <c r="F698" s="28" t="s">
        <v>17</v>
      </c>
      <c r="G698" s="28"/>
      <c r="H698" s="29" t="s">
        <v>138</v>
      </c>
      <c r="I698" s="29"/>
      <c r="J698" s="30">
        <v>12</v>
      </c>
      <c r="K698" s="30">
        <v>9</v>
      </c>
      <c r="L698" s="29"/>
      <c r="M698" s="31" t="s">
        <v>133</v>
      </c>
      <c r="N698" s="8" t="s">
        <v>171</v>
      </c>
    </row>
    <row r="699" spans="5:14" x14ac:dyDescent="0.25">
      <c r="E699" s="37">
        <v>46262</v>
      </c>
      <c r="F699" s="28" t="s">
        <v>17</v>
      </c>
      <c r="G699" s="28"/>
      <c r="H699" s="29" t="s">
        <v>143</v>
      </c>
      <c r="I699" s="29"/>
      <c r="J699" s="30">
        <v>6</v>
      </c>
      <c r="K699" s="30">
        <v>6</v>
      </c>
      <c r="L699" s="29"/>
      <c r="M699" s="31"/>
    </row>
    <row r="700" spans="5:14" ht="28.5" x14ac:dyDescent="0.25">
      <c r="E700" s="37">
        <v>46262</v>
      </c>
      <c r="F700" s="28" t="s">
        <v>18</v>
      </c>
      <c r="G700" s="28"/>
      <c r="H700" s="29" t="s">
        <v>144</v>
      </c>
      <c r="I700" s="29"/>
      <c r="J700" s="30">
        <v>8</v>
      </c>
      <c r="K700" s="30">
        <v>6</v>
      </c>
      <c r="L700" s="29"/>
      <c r="M700" s="31" t="s">
        <v>133</v>
      </c>
      <c r="N700" s="8" t="s">
        <v>171</v>
      </c>
    </row>
    <row r="701" spans="5:14" x14ac:dyDescent="0.25">
      <c r="E701" s="37">
        <v>46262</v>
      </c>
      <c r="F701" s="28" t="s">
        <v>17</v>
      </c>
      <c r="G701" s="28"/>
      <c r="H701" s="29" t="s">
        <v>145</v>
      </c>
      <c r="I701" s="29"/>
      <c r="J701" s="30">
        <v>7</v>
      </c>
      <c r="K701" s="30">
        <v>7</v>
      </c>
      <c r="L701" s="29"/>
      <c r="M701" s="31"/>
    </row>
    <row r="702" spans="5:14" ht="28.5" x14ac:dyDescent="0.25">
      <c r="E702" s="37">
        <v>46262</v>
      </c>
      <c r="F702" s="28" t="s">
        <v>19</v>
      </c>
      <c r="G702" s="28"/>
      <c r="H702" s="29" t="s">
        <v>147</v>
      </c>
      <c r="I702" s="29"/>
      <c r="J702" s="30">
        <v>5</v>
      </c>
      <c r="K702" s="30">
        <v>1</v>
      </c>
      <c r="L702" s="29"/>
      <c r="M702" s="31" t="s">
        <v>133</v>
      </c>
      <c r="N702" s="8" t="s">
        <v>134</v>
      </c>
    </row>
    <row r="703" spans="5:14" x14ac:dyDescent="0.25">
      <c r="E703" s="37">
        <v>46262</v>
      </c>
      <c r="F703" s="28" t="s">
        <v>19</v>
      </c>
      <c r="G703" s="28"/>
      <c r="H703" s="29" t="s">
        <v>148</v>
      </c>
      <c r="I703" s="29"/>
      <c r="J703" s="30">
        <v>5</v>
      </c>
      <c r="K703" s="30">
        <v>5</v>
      </c>
      <c r="L703" s="29"/>
      <c r="M703" s="31"/>
    </row>
    <row r="704" spans="5:14" x14ac:dyDescent="0.25">
      <c r="E704" s="37">
        <v>46262</v>
      </c>
      <c r="F704" s="28" t="s">
        <v>51</v>
      </c>
      <c r="G704" s="28"/>
      <c r="H704" s="29" t="s">
        <v>150</v>
      </c>
      <c r="I704" s="29"/>
      <c r="J704" s="30">
        <v>5</v>
      </c>
      <c r="K704" s="30">
        <v>5</v>
      </c>
      <c r="L704" s="29"/>
      <c r="M704" s="31"/>
    </row>
    <row r="705" spans="5:14" x14ac:dyDescent="0.25">
      <c r="E705" s="37">
        <v>46262</v>
      </c>
      <c r="F705" s="28" t="s">
        <v>21</v>
      </c>
      <c r="G705" s="28"/>
      <c r="H705" s="29" t="s">
        <v>151</v>
      </c>
      <c r="I705" s="29"/>
      <c r="J705" s="30">
        <v>4</v>
      </c>
      <c r="K705" s="30">
        <v>4</v>
      </c>
      <c r="L705" s="29"/>
      <c r="M705" s="31"/>
    </row>
    <row r="706" spans="5:14" x14ac:dyDescent="0.25">
      <c r="E706" s="37">
        <v>46262</v>
      </c>
      <c r="F706" s="28" t="s">
        <v>21</v>
      </c>
      <c r="G706" s="28"/>
      <c r="H706" s="29" t="s">
        <v>152</v>
      </c>
      <c r="I706" s="29"/>
      <c r="J706" s="30">
        <v>5</v>
      </c>
      <c r="K706" s="30">
        <v>7</v>
      </c>
      <c r="L706" s="29"/>
      <c r="M706" s="31"/>
    </row>
    <row r="707" spans="5:14" x14ac:dyDescent="0.25">
      <c r="E707" s="37">
        <v>46262</v>
      </c>
      <c r="F707" s="28" t="s">
        <v>21</v>
      </c>
      <c r="G707" s="28"/>
      <c r="H707" s="29" t="s">
        <v>154</v>
      </c>
      <c r="I707" s="29"/>
      <c r="J707" s="30">
        <v>30</v>
      </c>
      <c r="K707" s="30">
        <v>24</v>
      </c>
      <c r="L707" s="29"/>
      <c r="M707" s="31" t="s">
        <v>180</v>
      </c>
      <c r="N707" s="8" t="s">
        <v>135</v>
      </c>
    </row>
    <row r="708" spans="5:14" ht="28.5" x14ac:dyDescent="0.25">
      <c r="E708" s="37">
        <v>46262</v>
      </c>
      <c r="F708" s="28" t="s">
        <v>21</v>
      </c>
      <c r="G708" s="28"/>
      <c r="H708" s="29" t="s">
        <v>155</v>
      </c>
      <c r="I708" s="29"/>
      <c r="J708" s="30">
        <v>15</v>
      </c>
      <c r="K708" s="30">
        <v>8</v>
      </c>
      <c r="L708" s="29"/>
      <c r="M708" s="31" t="s">
        <v>133</v>
      </c>
      <c r="N708" s="8" t="s">
        <v>135</v>
      </c>
    </row>
    <row r="709" spans="5:14" x14ac:dyDescent="0.25">
      <c r="E709" s="37">
        <v>46262</v>
      </c>
      <c r="F709" s="28" t="s">
        <v>21</v>
      </c>
      <c r="G709" s="28"/>
      <c r="H709" s="29" t="s">
        <v>156</v>
      </c>
      <c r="I709" s="29"/>
      <c r="J709" s="30">
        <v>6</v>
      </c>
      <c r="K709" s="30">
        <v>6</v>
      </c>
      <c r="L709" s="29"/>
      <c r="M709" s="31"/>
    </row>
    <row r="710" spans="5:14" ht="28.5" x14ac:dyDescent="0.25">
      <c r="E710" s="37">
        <v>46262</v>
      </c>
      <c r="F710" s="28" t="s">
        <v>21</v>
      </c>
      <c r="G710" s="28"/>
      <c r="H710" s="29" t="s">
        <v>158</v>
      </c>
      <c r="I710" s="29"/>
      <c r="J710" s="30">
        <v>22</v>
      </c>
      <c r="K710" s="30">
        <v>18</v>
      </c>
      <c r="L710" s="29"/>
      <c r="M710" s="31" t="s">
        <v>133</v>
      </c>
      <c r="N710" s="8" t="s">
        <v>171</v>
      </c>
    </row>
    <row r="711" spans="5:14" ht="28.5" x14ac:dyDescent="0.25">
      <c r="E711" s="37">
        <v>46262</v>
      </c>
      <c r="F711" s="28" t="s">
        <v>22</v>
      </c>
      <c r="G711" s="28"/>
      <c r="H711" s="29" t="s">
        <v>159</v>
      </c>
      <c r="I711" s="29"/>
      <c r="J711" s="30">
        <v>10</v>
      </c>
      <c r="K711" s="30">
        <v>7</v>
      </c>
      <c r="L711" s="29"/>
      <c r="M711" s="31" t="s">
        <v>133</v>
      </c>
      <c r="N711" s="8" t="s">
        <v>134</v>
      </c>
    </row>
    <row r="712" spans="5:14" ht="28.5" x14ac:dyDescent="0.25">
      <c r="E712" s="37">
        <v>46262</v>
      </c>
      <c r="F712" s="28" t="s">
        <v>22</v>
      </c>
      <c r="G712" s="28"/>
      <c r="H712" s="29" t="s">
        <v>160</v>
      </c>
      <c r="I712" s="29"/>
      <c r="J712" s="30">
        <v>10</v>
      </c>
      <c r="K712" s="30">
        <v>2</v>
      </c>
      <c r="L712" s="29"/>
      <c r="M712" s="31" t="s">
        <v>133</v>
      </c>
      <c r="N712" s="8" t="s">
        <v>134</v>
      </c>
    </row>
    <row r="713" spans="5:14" x14ac:dyDescent="0.25">
      <c r="E713" s="37">
        <v>46262</v>
      </c>
      <c r="F713" s="28" t="s">
        <v>23</v>
      </c>
      <c r="G713" s="28"/>
      <c r="H713" s="29" t="s">
        <v>161</v>
      </c>
      <c r="I713" s="29"/>
      <c r="J713" s="30">
        <v>6</v>
      </c>
      <c r="K713" s="30">
        <v>1</v>
      </c>
      <c r="L713" s="29"/>
      <c r="M713" s="31" t="s">
        <v>40</v>
      </c>
    </row>
    <row r="714" spans="5:14" x14ac:dyDescent="0.25">
      <c r="E714" s="37">
        <v>46262</v>
      </c>
      <c r="F714" s="28" t="s">
        <v>49</v>
      </c>
      <c r="G714" s="28"/>
      <c r="H714" s="29" t="s">
        <v>162</v>
      </c>
      <c r="I714" s="29"/>
      <c r="J714" s="30">
        <v>6</v>
      </c>
      <c r="K714" s="30">
        <v>2</v>
      </c>
      <c r="L714" s="29"/>
      <c r="M714" s="31" t="s">
        <v>40</v>
      </c>
    </row>
    <row r="715" spans="5:14" ht="28.5" x14ac:dyDescent="0.25">
      <c r="E715" s="37">
        <v>46262</v>
      </c>
      <c r="F715" s="28" t="s">
        <v>25</v>
      </c>
      <c r="G715" s="28"/>
      <c r="H715" s="29" t="s">
        <v>163</v>
      </c>
      <c r="I715" s="29"/>
      <c r="J715" s="30">
        <v>6</v>
      </c>
      <c r="K715" s="30">
        <v>3</v>
      </c>
      <c r="L715" s="29"/>
      <c r="M715" s="31" t="s">
        <v>133</v>
      </c>
      <c r="N715" s="8" t="s">
        <v>171</v>
      </c>
    </row>
    <row r="716" spans="5:14" x14ac:dyDescent="0.25">
      <c r="E716" s="37">
        <v>46262</v>
      </c>
      <c r="F716" s="28" t="s">
        <v>26</v>
      </c>
      <c r="G716" s="28"/>
      <c r="H716" s="29" t="s">
        <v>164</v>
      </c>
      <c r="I716" s="29"/>
      <c r="J716" s="30">
        <v>10</v>
      </c>
      <c r="K716" s="30">
        <v>7</v>
      </c>
      <c r="L716" s="29"/>
      <c r="M716" s="31" t="s">
        <v>40</v>
      </c>
    </row>
    <row r="717" spans="5:14" x14ac:dyDescent="0.25">
      <c r="E717" s="37">
        <v>46262</v>
      </c>
      <c r="F717" s="28" t="s">
        <v>165</v>
      </c>
      <c r="G717" s="28"/>
      <c r="H717" s="29" t="s">
        <v>166</v>
      </c>
      <c r="I717" s="29"/>
      <c r="J717" s="30">
        <v>5</v>
      </c>
      <c r="K717" s="30">
        <v>1</v>
      </c>
      <c r="L717" s="29"/>
      <c r="M717" s="31" t="s">
        <v>40</v>
      </c>
    </row>
    <row r="718" spans="5:14" ht="28.5" x14ac:dyDescent="0.25">
      <c r="E718" s="37">
        <v>46262</v>
      </c>
      <c r="F718" s="28" t="s">
        <v>26</v>
      </c>
      <c r="G718" s="28"/>
      <c r="H718" s="29" t="s">
        <v>167</v>
      </c>
      <c r="I718" s="29"/>
      <c r="J718" s="30">
        <v>3</v>
      </c>
      <c r="K718" s="30">
        <v>2</v>
      </c>
      <c r="L718" s="29"/>
      <c r="M718" s="31" t="s">
        <v>133</v>
      </c>
      <c r="N718" s="8" t="s">
        <v>171</v>
      </c>
    </row>
    <row r="719" spans="5:14" ht="28.5" x14ac:dyDescent="0.25">
      <c r="E719" s="37">
        <v>46262</v>
      </c>
      <c r="F719" s="28" t="s">
        <v>26</v>
      </c>
      <c r="G719" s="28"/>
      <c r="H719" s="29" t="s">
        <v>168</v>
      </c>
      <c r="I719" s="29"/>
      <c r="J719" s="30">
        <v>5</v>
      </c>
      <c r="K719" s="30">
        <v>1</v>
      </c>
      <c r="L719" s="29"/>
      <c r="M719" s="31" t="s">
        <v>133</v>
      </c>
      <c r="N719" s="8" t="s">
        <v>135</v>
      </c>
    </row>
    <row r="720" spans="5:14" x14ac:dyDescent="0.25">
      <c r="E720" s="37">
        <v>46262</v>
      </c>
      <c r="F720" s="28" t="s">
        <v>26</v>
      </c>
      <c r="G720" s="28"/>
      <c r="H720" s="29" t="s">
        <v>170</v>
      </c>
      <c r="I720" s="29"/>
      <c r="J720" s="30">
        <v>4</v>
      </c>
      <c r="K720" s="30">
        <v>4</v>
      </c>
      <c r="L720" s="29"/>
      <c r="M720" s="31"/>
    </row>
    <row r="721" spans="5:19" ht="28.5" x14ac:dyDescent="0.25">
      <c r="E721" s="37">
        <v>46263</v>
      </c>
      <c r="F721" s="28" t="s">
        <v>26</v>
      </c>
      <c r="G721" s="28"/>
      <c r="H721" s="29" t="s">
        <v>164</v>
      </c>
      <c r="I721" s="29"/>
      <c r="J721" s="30">
        <v>10</v>
      </c>
      <c r="K721" s="30">
        <v>5</v>
      </c>
      <c r="L721" s="29"/>
      <c r="M721" s="31" t="s">
        <v>133</v>
      </c>
      <c r="N721" s="8" t="s">
        <v>78</v>
      </c>
    </row>
    <row r="722" spans="5:19" x14ac:dyDescent="0.25">
      <c r="E722" s="38" t="s">
        <v>41</v>
      </c>
      <c r="F722" s="32"/>
      <c r="G722" s="32"/>
      <c r="H722" s="32"/>
      <c r="I722" s="33"/>
      <c r="J722" s="34">
        <f>SUBTOTAL(109,Данные_Когалым[ПЛАН])</f>
        <v>717</v>
      </c>
      <c r="K722" s="34">
        <f>SUBTOTAL(109,Данные_Когалым[ФАКТ])</f>
        <v>488</v>
      </c>
      <c r="L722" s="32">
        <f>Данные_Когалым[[#Totals],[ФАКТ]]-Данные_Когалым[[#Totals],[ПЛАН]]</f>
        <v>-229</v>
      </c>
      <c r="M722" s="24"/>
      <c r="N722" s="24"/>
      <c r="O722" s="24"/>
      <c r="P722" s="24"/>
      <c r="Q722" s="24"/>
      <c r="R722" s="24"/>
      <c r="S722" s="24"/>
    </row>
  </sheetData>
  <conditionalFormatting sqref="N4:N633">
    <cfRule type="containsText" dxfId="19" priority="30" operator="containsText" text="Заменить">
      <formula>NOT(ISERROR(SEARCH("Заменить",N4)))</formula>
    </cfRule>
    <cfRule type="containsText" dxfId="18" priority="31" operator="containsText" text="претензию">
      <formula>NOT(ISERROR(SEARCH("претензию",N4)))</formula>
    </cfRule>
  </conditionalFormatting>
  <conditionalFormatting sqref="L634:L693">
    <cfRule type="iconSet" priority="1">
      <iconSet iconSet="3Symbols2">
        <cfvo type="percent" val="0"/>
        <cfvo type="percent" val="33"/>
        <cfvo type="percent" val="67"/>
      </iconSet>
    </cfRule>
  </conditionalFormatting>
  <conditionalFormatting sqref="N634:N693">
    <cfRule type="containsText" dxfId="17" priority="2" operator="containsText" text="Заменить">
      <formula>NOT(ISERROR(SEARCH("Заменить",N634)))</formula>
    </cfRule>
    <cfRule type="containsText" dxfId="16" priority="3" operator="containsText" text="претензию">
      <formula>NOT(ISERROR(SEARCH("претензию",N634)))</formula>
    </cfRule>
  </conditionalFormatting>
  <conditionalFormatting sqref="L4:L633">
    <cfRule type="iconSet" priority="34">
      <iconSet iconSet="3Symbols2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M4:M476">
      <formula1>INDIRECT("Справочник_причин[Причина]")</formula1>
      <formula2>0</formula2>
    </dataValidation>
    <dataValidation type="list" allowBlank="1" showInputMessage="1" showErrorMessage="1" sqref="F4:F721">
      <formula1>INDIRECT("Справочник_категорий[Категория]")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Критерии"/>
  <dimension ref="A1:E51"/>
  <sheetViews>
    <sheetView showGridLines="0" zoomScale="145" zoomScaleNormal="145" workbookViewId="0">
      <selection activeCell="A7" sqref="A7:XFD8"/>
    </sheetView>
  </sheetViews>
  <sheetFormatPr defaultColWidth="8.5" defaultRowHeight="16.5" x14ac:dyDescent="0.3"/>
  <cols>
    <col min="1" max="1" width="36" customWidth="1"/>
    <col min="2" max="2" width="12" customWidth="1"/>
    <col min="3" max="3" width="58" customWidth="1"/>
    <col min="4" max="4" width="26" customWidth="1"/>
    <col min="5" max="5" width="10" customWidth="1"/>
  </cols>
  <sheetData>
    <row r="1" spans="1:5" ht="25.9" customHeight="1" x14ac:dyDescent="0.3">
      <c r="A1" s="73" t="s">
        <v>70</v>
      </c>
      <c r="B1" s="73"/>
      <c r="C1" s="73"/>
      <c r="D1" s="73"/>
      <c r="E1" s="73"/>
    </row>
    <row r="2" spans="1:5" ht="18" customHeight="1" x14ac:dyDescent="0.3">
      <c r="A2" s="75" t="s">
        <v>71</v>
      </c>
      <c r="B2" s="76"/>
      <c r="C2" s="76"/>
      <c r="D2" s="76"/>
      <c r="E2" s="76"/>
    </row>
    <row r="4" spans="1:5" ht="19.899999999999999" customHeight="1" x14ac:dyDescent="0.3">
      <c r="A4" s="74" t="s">
        <v>72</v>
      </c>
      <c r="B4" s="74"/>
      <c r="C4" s="74"/>
    </row>
    <row r="5" spans="1:5" ht="19.899999999999999" customHeight="1" x14ac:dyDescent="0.3">
      <c r="A5" s="48" t="s">
        <v>73</v>
      </c>
      <c r="B5" s="48" t="s">
        <v>74</v>
      </c>
      <c r="C5" s="47" t="s">
        <v>75</v>
      </c>
    </row>
    <row r="6" spans="1:5" ht="18" customHeight="1" x14ac:dyDescent="0.3">
      <c r="A6" s="49" t="s">
        <v>77</v>
      </c>
      <c r="B6" s="52">
        <v>0.2</v>
      </c>
      <c r="C6" s="47"/>
    </row>
    <row r="7" spans="1:5" ht="18" customHeight="1" x14ac:dyDescent="0.3">
      <c r="A7" s="49" t="s">
        <v>79</v>
      </c>
      <c r="B7" s="52">
        <v>0.2</v>
      </c>
      <c r="C7" s="47"/>
    </row>
    <row r="8" spans="1:5" ht="18" customHeight="1" x14ac:dyDescent="0.3">
      <c r="A8" s="49" t="s">
        <v>80</v>
      </c>
      <c r="B8" s="52">
        <v>0.2</v>
      </c>
      <c r="C8" s="47"/>
      <c r="D8" s="47"/>
      <c r="E8" s="47"/>
    </row>
    <row r="9" spans="1:5" ht="18" customHeight="1" x14ac:dyDescent="0.3">
      <c r="A9" s="49" t="s">
        <v>81</v>
      </c>
      <c r="B9" s="52">
        <v>0.2</v>
      </c>
      <c r="C9" s="47"/>
      <c r="D9" s="47"/>
      <c r="E9" s="47"/>
    </row>
    <row r="10" spans="1:5" ht="18" customHeight="1" x14ac:dyDescent="0.3">
      <c r="A10" s="49" t="s">
        <v>82</v>
      </c>
      <c r="B10" s="52">
        <v>0.2</v>
      </c>
      <c r="C10" s="47"/>
      <c r="D10" s="47"/>
      <c r="E10" s="47"/>
    </row>
    <row r="11" spans="1:5" ht="18" customHeight="1" x14ac:dyDescent="0.3">
      <c r="A11" s="54" t="s">
        <v>83</v>
      </c>
      <c r="B11" s="52">
        <f>SUM(B6:B10)</f>
        <v>1</v>
      </c>
      <c r="C11" s="47" t="str">
        <f>IF(ROUND(B11,4)=1,"сумма весов верна","ВНИМАНИЕ: сумма весов не равна 100%")</f>
        <v>сумма весов верна</v>
      </c>
    </row>
    <row r="13" spans="1:5" ht="19.899999999999999" customHeight="1" x14ac:dyDescent="0.3">
      <c r="A13" s="74" t="s">
        <v>84</v>
      </c>
      <c r="B13" s="74"/>
      <c r="C13" s="74"/>
    </row>
    <row r="14" spans="1:5" ht="28.15" customHeight="1" x14ac:dyDescent="0.3">
      <c r="A14" s="48" t="s">
        <v>85</v>
      </c>
      <c r="B14" s="48" t="s">
        <v>86</v>
      </c>
      <c r="C14" s="48" t="s">
        <v>87</v>
      </c>
    </row>
    <row r="15" spans="1:5" ht="18" customHeight="1" x14ac:dyDescent="0.3">
      <c r="A15" s="51">
        <v>0</v>
      </c>
      <c r="B15" s="50" t="s">
        <v>88</v>
      </c>
      <c r="C15" s="50" t="s">
        <v>89</v>
      </c>
    </row>
    <row r="16" spans="1:5" ht="18" customHeight="1" x14ac:dyDescent="0.3">
      <c r="A16" s="51">
        <v>2.5</v>
      </c>
      <c r="B16" s="50" t="s">
        <v>90</v>
      </c>
      <c r="C16" s="50" t="s">
        <v>91</v>
      </c>
    </row>
    <row r="17" spans="1:3" ht="18" customHeight="1" x14ac:dyDescent="0.3">
      <c r="A17" s="51">
        <v>3.5</v>
      </c>
      <c r="B17" s="50" t="s">
        <v>92</v>
      </c>
      <c r="C17" s="50" t="s">
        <v>93</v>
      </c>
    </row>
    <row r="18" spans="1:3" ht="18" customHeight="1" x14ac:dyDescent="0.3">
      <c r="A18" s="51">
        <v>4.5</v>
      </c>
      <c r="B18" s="50" t="s">
        <v>94</v>
      </c>
      <c r="C18" s="50" t="s">
        <v>95</v>
      </c>
    </row>
    <row r="20" spans="1:3" ht="19.899999999999999" customHeight="1" x14ac:dyDescent="0.3">
      <c r="A20" s="74" t="s">
        <v>96</v>
      </c>
      <c r="B20" s="74"/>
      <c r="C20" s="74"/>
    </row>
    <row r="21" spans="1:3" ht="28.15" customHeight="1" x14ac:dyDescent="0.3">
      <c r="A21" s="48" t="s">
        <v>42</v>
      </c>
      <c r="B21" s="48" t="s">
        <v>97</v>
      </c>
      <c r="C21" s="48" t="s">
        <v>98</v>
      </c>
    </row>
    <row r="22" spans="1:3" ht="18" customHeight="1" x14ac:dyDescent="0.3">
      <c r="A22" s="49" t="s">
        <v>77</v>
      </c>
      <c r="B22" s="50">
        <v>5</v>
      </c>
      <c r="C22" s="49" t="s">
        <v>99</v>
      </c>
    </row>
    <row r="23" spans="1:3" ht="18" customHeight="1" x14ac:dyDescent="0.3">
      <c r="A23" s="49" t="s">
        <v>100</v>
      </c>
      <c r="B23" s="50">
        <v>4</v>
      </c>
      <c r="C23" s="49" t="s">
        <v>101</v>
      </c>
    </row>
    <row r="24" spans="1:3" ht="18" customHeight="1" x14ac:dyDescent="0.3">
      <c r="A24" s="49" t="s">
        <v>100</v>
      </c>
      <c r="B24" s="50">
        <v>3</v>
      </c>
      <c r="C24" s="49" t="s">
        <v>102</v>
      </c>
    </row>
    <row r="25" spans="1:3" ht="18" customHeight="1" x14ac:dyDescent="0.3">
      <c r="A25" s="49" t="s">
        <v>100</v>
      </c>
      <c r="B25" s="50">
        <v>2</v>
      </c>
      <c r="C25" s="49" t="s">
        <v>117</v>
      </c>
    </row>
    <row r="26" spans="1:3" ht="18" customHeight="1" x14ac:dyDescent="0.3">
      <c r="A26" s="49" t="s">
        <v>100</v>
      </c>
      <c r="B26" s="50">
        <v>1</v>
      </c>
      <c r="C26" s="49" t="s">
        <v>118</v>
      </c>
    </row>
    <row r="27" spans="1:3" ht="18" customHeight="1" x14ac:dyDescent="0.3">
      <c r="A27" s="49" t="s">
        <v>100</v>
      </c>
      <c r="B27" s="50">
        <v>0</v>
      </c>
      <c r="C27" s="49" t="s">
        <v>103</v>
      </c>
    </row>
    <row r="28" spans="1:3" ht="18" customHeight="1" x14ac:dyDescent="0.3">
      <c r="A28" s="49" t="s">
        <v>79</v>
      </c>
      <c r="B28" s="50">
        <v>5</v>
      </c>
      <c r="C28" s="49" t="s">
        <v>104</v>
      </c>
    </row>
    <row r="29" spans="1:3" ht="18" customHeight="1" x14ac:dyDescent="0.3">
      <c r="A29" s="49" t="s">
        <v>100</v>
      </c>
      <c r="B29" s="50">
        <v>4</v>
      </c>
      <c r="C29" s="49" t="s">
        <v>105</v>
      </c>
    </row>
    <row r="30" spans="1:3" ht="18" customHeight="1" x14ac:dyDescent="0.3">
      <c r="A30" s="49" t="s">
        <v>100</v>
      </c>
      <c r="B30" s="50">
        <v>3</v>
      </c>
      <c r="C30" s="49" t="s">
        <v>106</v>
      </c>
    </row>
    <row r="31" spans="1:3" ht="18" customHeight="1" x14ac:dyDescent="0.3">
      <c r="A31" s="49" t="s">
        <v>100</v>
      </c>
      <c r="B31" s="50">
        <v>2</v>
      </c>
      <c r="C31" s="49" t="s">
        <v>107</v>
      </c>
    </row>
    <row r="32" spans="1:3" ht="18" customHeight="1" x14ac:dyDescent="0.3">
      <c r="A32" s="49" t="s">
        <v>100</v>
      </c>
      <c r="B32" s="50">
        <v>1</v>
      </c>
      <c r="C32" s="49" t="s">
        <v>108</v>
      </c>
    </row>
    <row r="33" spans="1:3" ht="18" customHeight="1" x14ac:dyDescent="0.3">
      <c r="A33" s="49" t="s">
        <v>100</v>
      </c>
      <c r="B33" s="50">
        <v>0</v>
      </c>
      <c r="C33" s="49" t="s">
        <v>109</v>
      </c>
    </row>
    <row r="34" spans="1:3" ht="18" customHeight="1" x14ac:dyDescent="0.3">
      <c r="A34" s="49" t="s">
        <v>80</v>
      </c>
      <c r="B34" s="50">
        <v>5</v>
      </c>
      <c r="C34" s="49" t="s">
        <v>120</v>
      </c>
    </row>
    <row r="35" spans="1:3" ht="18" customHeight="1" x14ac:dyDescent="0.3">
      <c r="A35" s="49" t="s">
        <v>100</v>
      </c>
      <c r="B35" s="50">
        <v>4</v>
      </c>
      <c r="C35" s="49" t="s">
        <v>121</v>
      </c>
    </row>
    <row r="36" spans="1:3" ht="18" customHeight="1" x14ac:dyDescent="0.3">
      <c r="A36" s="49" t="s">
        <v>100</v>
      </c>
      <c r="B36" s="50">
        <v>3</v>
      </c>
      <c r="C36" s="49" t="s">
        <v>122</v>
      </c>
    </row>
    <row r="37" spans="1:3" ht="18" customHeight="1" x14ac:dyDescent="0.3">
      <c r="A37" s="49" t="s">
        <v>100</v>
      </c>
      <c r="B37" s="50">
        <v>2</v>
      </c>
      <c r="C37" s="49" t="s">
        <v>123</v>
      </c>
    </row>
    <row r="38" spans="1:3" ht="18" customHeight="1" x14ac:dyDescent="0.3">
      <c r="A38" s="49" t="s">
        <v>100</v>
      </c>
      <c r="B38" s="50">
        <v>1</v>
      </c>
      <c r="C38" s="49" t="s">
        <v>124</v>
      </c>
    </row>
    <row r="39" spans="1:3" ht="18" customHeight="1" x14ac:dyDescent="0.3">
      <c r="A39" s="49" t="s">
        <v>100</v>
      </c>
      <c r="B39" s="50">
        <v>0</v>
      </c>
      <c r="C39" s="49" t="s">
        <v>110</v>
      </c>
    </row>
    <row r="40" spans="1:3" ht="18" customHeight="1" x14ac:dyDescent="0.3">
      <c r="A40" s="49" t="s">
        <v>81</v>
      </c>
      <c r="B40" s="50">
        <v>5</v>
      </c>
      <c r="C40" s="49" t="s">
        <v>125</v>
      </c>
    </row>
    <row r="41" spans="1:3" ht="18" customHeight="1" x14ac:dyDescent="0.3">
      <c r="A41" s="49" t="s">
        <v>100</v>
      </c>
      <c r="B41" s="50">
        <v>4</v>
      </c>
      <c r="C41" s="49" t="s">
        <v>126</v>
      </c>
    </row>
    <row r="42" spans="1:3" ht="18" customHeight="1" x14ac:dyDescent="0.3">
      <c r="A42" s="49" t="s">
        <v>100</v>
      </c>
      <c r="B42" s="50">
        <v>3</v>
      </c>
      <c r="C42" s="49" t="s">
        <v>127</v>
      </c>
    </row>
    <row r="43" spans="1:3" ht="18" customHeight="1" x14ac:dyDescent="0.3">
      <c r="A43" s="49" t="s">
        <v>100</v>
      </c>
      <c r="B43" s="50">
        <v>2</v>
      </c>
      <c r="C43" s="49" t="s">
        <v>128</v>
      </c>
    </row>
    <row r="44" spans="1:3" ht="18" customHeight="1" x14ac:dyDescent="0.3">
      <c r="A44" s="49" t="s">
        <v>100</v>
      </c>
      <c r="B44" s="50">
        <v>1</v>
      </c>
      <c r="C44" s="49" t="s">
        <v>129</v>
      </c>
    </row>
    <row r="45" spans="1:3" ht="18" customHeight="1" x14ac:dyDescent="0.3">
      <c r="A45" s="49" t="s">
        <v>100</v>
      </c>
      <c r="B45" s="50">
        <v>0</v>
      </c>
      <c r="C45" s="49" t="s">
        <v>130</v>
      </c>
    </row>
    <row r="46" spans="1:3" ht="18" customHeight="1" x14ac:dyDescent="0.3">
      <c r="A46" s="49" t="s">
        <v>82</v>
      </c>
      <c r="B46" s="50">
        <v>5</v>
      </c>
      <c r="C46" s="49" t="s">
        <v>111</v>
      </c>
    </row>
    <row r="47" spans="1:3" ht="18" customHeight="1" x14ac:dyDescent="0.3">
      <c r="A47" s="49" t="s">
        <v>100</v>
      </c>
      <c r="B47" s="50">
        <v>4</v>
      </c>
      <c r="C47" s="49" t="s">
        <v>112</v>
      </c>
    </row>
    <row r="48" spans="1:3" ht="18" customHeight="1" x14ac:dyDescent="0.3">
      <c r="A48" s="49" t="s">
        <v>100</v>
      </c>
      <c r="B48" s="50">
        <v>3</v>
      </c>
      <c r="C48" s="49" t="s">
        <v>113</v>
      </c>
    </row>
    <row r="49" spans="1:3" ht="18" customHeight="1" x14ac:dyDescent="0.3">
      <c r="A49" s="49" t="s">
        <v>100</v>
      </c>
      <c r="B49" s="50">
        <v>2</v>
      </c>
      <c r="C49" s="49" t="s">
        <v>114</v>
      </c>
    </row>
    <row r="50" spans="1:3" ht="18" customHeight="1" x14ac:dyDescent="0.3">
      <c r="A50" s="49" t="s">
        <v>100</v>
      </c>
      <c r="B50" s="50">
        <v>1</v>
      </c>
      <c r="C50" s="49" t="s">
        <v>115</v>
      </c>
    </row>
    <row r="51" spans="1:3" ht="18" customHeight="1" x14ac:dyDescent="0.3">
      <c r="A51" s="49" t="s">
        <v>100</v>
      </c>
      <c r="B51" s="50">
        <v>0</v>
      </c>
      <c r="C51" s="49" t="s">
        <v>116</v>
      </c>
    </row>
  </sheetData>
  <mergeCells count="5">
    <mergeCell ref="A20:C20"/>
    <mergeCell ref="A1:E1"/>
    <mergeCell ref="A2:E2"/>
    <mergeCell ref="A4:C4"/>
    <mergeCell ref="A13:C13"/>
  </mergeCells>
  <conditionalFormatting sqref="C11">
    <cfRule type="containsText" dxfId="15" priority="1" operator="containsText" text="ВНИМАНИЕ">
      <formula>NOT(ISERROR(SEARCH("ВНИМАНИЕ",C11)))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36"/>
  <sheetViews>
    <sheetView showGridLines="0" zoomScaleNormal="100" workbookViewId="0">
      <selection activeCell="E36" sqref="E36"/>
    </sheetView>
  </sheetViews>
  <sheetFormatPr defaultColWidth="8.5" defaultRowHeight="16.5" x14ac:dyDescent="0.3"/>
  <cols>
    <col min="1" max="1" width="25.125" style="25" customWidth="1"/>
    <col min="2" max="2" width="18.625" style="25" hidden="1" customWidth="1"/>
  </cols>
  <sheetData>
    <row r="1" spans="1:2" ht="16.5" customHeight="1" x14ac:dyDescent="0.3">
      <c r="A1" s="61" t="s">
        <v>42</v>
      </c>
      <c r="B1" s="42" t="s">
        <v>43</v>
      </c>
    </row>
    <row r="2" spans="1:2" ht="16.5" customHeight="1" x14ac:dyDescent="0.3">
      <c r="A2" s="60" t="s">
        <v>44</v>
      </c>
      <c r="B2" s="26">
        <v>1</v>
      </c>
    </row>
    <row r="3" spans="1:2" ht="16.5" customHeight="1" x14ac:dyDescent="0.3">
      <c r="A3" s="60" t="s">
        <v>45</v>
      </c>
      <c r="B3" s="26">
        <f t="shared" ref="B3:B30" si="0">B2+1</f>
        <v>2</v>
      </c>
    </row>
    <row r="4" spans="1:2" ht="16.5" customHeight="1" x14ac:dyDescent="0.3">
      <c r="A4" s="60" t="s">
        <v>46</v>
      </c>
      <c r="B4" s="26">
        <f t="shared" si="0"/>
        <v>3</v>
      </c>
    </row>
    <row r="5" spans="1:2" ht="16.5" customHeight="1" x14ac:dyDescent="0.3">
      <c r="A5" s="60" t="s">
        <v>47</v>
      </c>
      <c r="B5" s="26">
        <f t="shared" si="0"/>
        <v>4</v>
      </c>
    </row>
    <row r="6" spans="1:2" ht="16.5" customHeight="1" x14ac:dyDescent="0.3">
      <c r="A6" s="60" t="s">
        <v>48</v>
      </c>
      <c r="B6" s="26">
        <f t="shared" si="0"/>
        <v>5</v>
      </c>
    </row>
    <row r="7" spans="1:2" ht="16.5" customHeight="1" x14ac:dyDescent="0.3">
      <c r="A7" s="60" t="s">
        <v>23</v>
      </c>
      <c r="B7" s="26">
        <f t="shared" si="0"/>
        <v>6</v>
      </c>
    </row>
    <row r="8" spans="1:2" ht="16.5" customHeight="1" x14ac:dyDescent="0.3">
      <c r="A8" s="60" t="s">
        <v>49</v>
      </c>
      <c r="B8" s="26">
        <f t="shared" si="0"/>
        <v>7</v>
      </c>
    </row>
    <row r="9" spans="1:2" ht="16.5" customHeight="1" x14ac:dyDescent="0.3">
      <c r="A9" s="60" t="s">
        <v>21</v>
      </c>
      <c r="B9" s="26">
        <f t="shared" si="0"/>
        <v>8</v>
      </c>
    </row>
    <row r="10" spans="1:2" ht="16.5" customHeight="1" x14ac:dyDescent="0.3">
      <c r="A10" s="60" t="s">
        <v>50</v>
      </c>
      <c r="B10" s="26">
        <f t="shared" si="0"/>
        <v>9</v>
      </c>
    </row>
    <row r="11" spans="1:2" ht="16.5" customHeight="1" x14ac:dyDescent="0.3">
      <c r="A11" s="60" t="s">
        <v>20</v>
      </c>
      <c r="B11" s="26">
        <f t="shared" si="0"/>
        <v>10</v>
      </c>
    </row>
    <row r="12" spans="1:2" ht="16.5" customHeight="1" x14ac:dyDescent="0.3">
      <c r="A12" s="60" t="s">
        <v>51</v>
      </c>
      <c r="B12" s="26">
        <f t="shared" si="0"/>
        <v>11</v>
      </c>
    </row>
    <row r="13" spans="1:2" ht="16.5" customHeight="1" x14ac:dyDescent="0.3">
      <c r="A13" s="60" t="s">
        <v>19</v>
      </c>
      <c r="B13" s="26">
        <f t="shared" si="0"/>
        <v>12</v>
      </c>
    </row>
    <row r="14" spans="1:2" ht="16.5" customHeight="1" x14ac:dyDescent="0.3">
      <c r="A14" s="60" t="s">
        <v>17</v>
      </c>
      <c r="B14" s="26">
        <f t="shared" si="0"/>
        <v>13</v>
      </c>
    </row>
    <row r="15" spans="1:2" ht="16.5" customHeight="1" x14ac:dyDescent="0.3">
      <c r="A15" s="60" t="s">
        <v>177</v>
      </c>
      <c r="B15" s="26">
        <f t="shared" si="0"/>
        <v>14</v>
      </c>
    </row>
    <row r="16" spans="1:2" ht="16.5" customHeight="1" x14ac:dyDescent="0.3">
      <c r="A16" s="60" t="s">
        <v>18</v>
      </c>
      <c r="B16" s="26">
        <f t="shared" si="0"/>
        <v>15</v>
      </c>
    </row>
    <row r="17" spans="1:2" ht="16.5" customHeight="1" x14ac:dyDescent="0.3">
      <c r="A17" s="60" t="s">
        <v>52</v>
      </c>
      <c r="B17" s="26">
        <f t="shared" si="0"/>
        <v>16</v>
      </c>
    </row>
    <row r="18" spans="1:2" ht="16.5" customHeight="1" x14ac:dyDescent="0.3">
      <c r="A18" s="60" t="s">
        <v>53</v>
      </c>
      <c r="B18" s="26">
        <f t="shared" si="0"/>
        <v>17</v>
      </c>
    </row>
    <row r="19" spans="1:2" ht="16.5" customHeight="1" x14ac:dyDescent="0.3">
      <c r="A19" s="60" t="s">
        <v>165</v>
      </c>
      <c r="B19" s="26">
        <f t="shared" si="0"/>
        <v>18</v>
      </c>
    </row>
    <row r="20" spans="1:2" ht="16.5" customHeight="1" x14ac:dyDescent="0.3">
      <c r="A20" s="60" t="s">
        <v>54</v>
      </c>
      <c r="B20" s="26">
        <f t="shared" si="0"/>
        <v>19</v>
      </c>
    </row>
    <row r="21" spans="1:2" ht="16.5" customHeight="1" x14ac:dyDescent="0.3">
      <c r="A21" s="60" t="s">
        <v>55</v>
      </c>
      <c r="B21" s="26">
        <f t="shared" si="0"/>
        <v>20</v>
      </c>
    </row>
    <row r="22" spans="1:2" ht="16.5" customHeight="1" x14ac:dyDescent="0.3">
      <c r="A22" s="60" t="s">
        <v>56</v>
      </c>
      <c r="B22" s="26">
        <f t="shared" si="0"/>
        <v>21</v>
      </c>
    </row>
    <row r="23" spans="1:2" x14ac:dyDescent="0.3">
      <c r="A23" s="60" t="s">
        <v>57</v>
      </c>
    </row>
    <row r="24" spans="1:2" ht="16.5" customHeight="1" x14ac:dyDescent="0.3">
      <c r="A24" s="60" t="s">
        <v>58</v>
      </c>
      <c r="B24" s="26">
        <f>B22+1</f>
        <v>22</v>
      </c>
    </row>
    <row r="25" spans="1:2" ht="16.5" customHeight="1" x14ac:dyDescent="0.3">
      <c r="A25" s="60" t="s">
        <v>27</v>
      </c>
      <c r="B25" s="26">
        <f t="shared" si="0"/>
        <v>23</v>
      </c>
    </row>
    <row r="26" spans="1:2" ht="16.5" customHeight="1" x14ac:dyDescent="0.3">
      <c r="A26" s="60" t="s">
        <v>59</v>
      </c>
      <c r="B26" s="26">
        <f t="shared" si="0"/>
        <v>24</v>
      </c>
    </row>
    <row r="27" spans="1:2" ht="16.5" customHeight="1" x14ac:dyDescent="0.3">
      <c r="A27" s="60" t="s">
        <v>172</v>
      </c>
      <c r="B27" s="26">
        <f t="shared" si="0"/>
        <v>25</v>
      </c>
    </row>
    <row r="28" spans="1:2" ht="16.5" customHeight="1" x14ac:dyDescent="0.3">
      <c r="A28" s="60" t="s">
        <v>16</v>
      </c>
      <c r="B28" s="26">
        <f t="shared" si="0"/>
        <v>26</v>
      </c>
    </row>
    <row r="29" spans="1:2" ht="16.5" customHeight="1" x14ac:dyDescent="0.3">
      <c r="A29" s="60" t="s">
        <v>22</v>
      </c>
      <c r="B29" s="26">
        <f t="shared" si="0"/>
        <v>27</v>
      </c>
    </row>
    <row r="30" spans="1:2" ht="16.5" customHeight="1" x14ac:dyDescent="0.3">
      <c r="A30" s="60" t="s">
        <v>24</v>
      </c>
      <c r="B30" s="26">
        <f t="shared" si="0"/>
        <v>28</v>
      </c>
    </row>
    <row r="31" spans="1:2" x14ac:dyDescent="0.3">
      <c r="A31" s="60" t="s">
        <v>25</v>
      </c>
    </row>
    <row r="32" spans="1:2" x14ac:dyDescent="0.3">
      <c r="A32" s="60" t="s">
        <v>26</v>
      </c>
    </row>
    <row r="33" spans="1:1" x14ac:dyDescent="0.3">
      <c r="A33" s="60" t="s">
        <v>172</v>
      </c>
    </row>
    <row r="34" spans="1:1" x14ac:dyDescent="0.3">
      <c r="A34" s="60"/>
    </row>
    <row r="35" spans="1:1" x14ac:dyDescent="0.3">
      <c r="A35" s="60"/>
    </row>
    <row r="36" spans="1:1" x14ac:dyDescent="0.3">
      <c r="A36" s="60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9"/>
  <sheetViews>
    <sheetView showGridLines="0" zoomScaleNormal="100" workbookViewId="0">
      <selection activeCell="A9" sqref="A9"/>
    </sheetView>
  </sheetViews>
  <sheetFormatPr defaultColWidth="8.5" defaultRowHeight="16.5" x14ac:dyDescent="0.3"/>
  <cols>
    <col min="1" max="1" width="37.125" style="27" customWidth="1"/>
    <col min="2" max="2" width="20" style="27" hidden="1" customWidth="1"/>
  </cols>
  <sheetData>
    <row r="1" spans="1:2" ht="16.5" customHeight="1" x14ac:dyDescent="0.3">
      <c r="A1" s="61" t="s">
        <v>9</v>
      </c>
      <c r="B1" s="42" t="s">
        <v>60</v>
      </c>
    </row>
    <row r="2" spans="1:2" ht="16.5" customHeight="1" x14ac:dyDescent="0.3">
      <c r="A2" s="60" t="s">
        <v>39</v>
      </c>
      <c r="B2" s="27">
        <v>1</v>
      </c>
    </row>
    <row r="3" spans="1:2" s="55" customFormat="1" ht="16.5" customHeight="1" x14ac:dyDescent="0.3">
      <c r="A3" s="60" t="s">
        <v>131</v>
      </c>
      <c r="B3" s="27"/>
    </row>
    <row r="4" spans="1:2" ht="16.5" customHeight="1" x14ac:dyDescent="0.3">
      <c r="A4" s="60" t="s">
        <v>40</v>
      </c>
      <c r="B4" s="27">
        <f>B2+1</f>
        <v>2</v>
      </c>
    </row>
    <row r="5" spans="1:2" s="55" customFormat="1" ht="16.5" customHeight="1" x14ac:dyDescent="0.3">
      <c r="A5" s="60" t="s">
        <v>132</v>
      </c>
      <c r="B5" s="27"/>
    </row>
    <row r="6" spans="1:2" ht="16.5" customHeight="1" x14ac:dyDescent="0.3">
      <c r="A6" s="60" t="s">
        <v>38</v>
      </c>
      <c r="B6" s="27">
        <f>B4+1</f>
        <v>3</v>
      </c>
    </row>
    <row r="7" spans="1:2" ht="16.5" customHeight="1" x14ac:dyDescent="0.3">
      <c r="A7" s="60" t="s">
        <v>133</v>
      </c>
      <c r="B7" s="27">
        <f>B6+1</f>
        <v>4</v>
      </c>
    </row>
    <row r="8" spans="1:2" x14ac:dyDescent="0.3">
      <c r="A8" s="69" t="s">
        <v>179</v>
      </c>
      <c r="B8" s="68"/>
    </row>
    <row r="9" spans="1:2" x14ac:dyDescent="0.3">
      <c r="A9" s="70" t="s">
        <v>180</v>
      </c>
      <c r="B9" s="68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7"/>
  <sheetViews>
    <sheetView showGridLines="0" workbookViewId="0">
      <selection activeCell="A14" sqref="A14"/>
    </sheetView>
  </sheetViews>
  <sheetFormatPr defaultRowHeight="16.5" x14ac:dyDescent="0.3"/>
  <cols>
    <col min="1" max="1" width="34.625" customWidth="1"/>
  </cols>
  <sheetData>
    <row r="1" spans="1:2" x14ac:dyDescent="0.3">
      <c r="A1" s="58" t="s">
        <v>76</v>
      </c>
      <c r="B1" s="47"/>
    </row>
    <row r="2" spans="1:2" x14ac:dyDescent="0.3">
      <c r="A2" s="57" t="s">
        <v>78</v>
      </c>
      <c r="B2" s="47"/>
    </row>
    <row r="3" spans="1:2" s="67" customFormat="1" x14ac:dyDescent="0.3">
      <c r="A3" s="57" t="s">
        <v>171</v>
      </c>
      <c r="B3" s="66"/>
    </row>
    <row r="4" spans="1:2" x14ac:dyDescent="0.3">
      <c r="A4" s="57" t="s">
        <v>135</v>
      </c>
      <c r="B4" s="56"/>
    </row>
    <row r="5" spans="1:2" ht="25.5" x14ac:dyDescent="0.3">
      <c r="A5" s="57" t="s">
        <v>134</v>
      </c>
      <c r="B5" s="56"/>
    </row>
    <row r="6" spans="1:2" x14ac:dyDescent="0.3">
      <c r="A6" s="59" t="s">
        <v>181</v>
      </c>
      <c r="B6" s="47"/>
    </row>
    <row r="7" spans="1:2" x14ac:dyDescent="0.3">
      <c r="A7" s="57" t="s">
        <v>182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16</vt:i4>
      </vt:variant>
    </vt:vector>
  </HeadingPairs>
  <TitlesOfParts>
    <vt:vector size="22" baseType="lpstr">
      <vt:lpstr>Форма ввода</vt:lpstr>
      <vt:lpstr>Форма отчета</vt:lpstr>
      <vt:lpstr>Критерии оценки</vt:lpstr>
      <vt:lpstr>Справочник видов работ</vt:lpstr>
      <vt:lpstr>Справочник причин</vt:lpstr>
      <vt:lpstr>Справочник решений</vt:lpstr>
      <vt:lpstr>Баллы_Все</vt:lpstr>
      <vt:lpstr>Вес_Выработка</vt:lpstr>
      <vt:lpstr>Вес_Дисциплина</vt:lpstr>
      <vt:lpstr>Вес_Качество</vt:lpstr>
      <vt:lpstr>Вес_Люди</vt:lpstr>
      <vt:lpstr>Вес_Чистота</vt:lpstr>
      <vt:lpstr>ДатаОтчёта</vt:lpstr>
      <vt:lpstr>Список_Решений</vt:lpstr>
      <vt:lpstr>Факты_Все</vt:lpstr>
      <vt:lpstr>Факты_Выработка</vt:lpstr>
      <vt:lpstr>Факты_Дисциплина</vt:lpstr>
      <vt:lpstr>Факты_Качество</vt:lpstr>
      <vt:lpstr>Факты_Люди</vt:lpstr>
      <vt:lpstr>Факты_Чистота</vt:lpstr>
      <vt:lpstr>Шкала_Порог</vt:lpstr>
      <vt:lpstr>Шкала_Уровень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Stanislav Salostey;Finalytics.pro</dc:creator>
  <dc:description/>
  <cp:lastModifiedBy>Ненахова Юлия Александровна</cp:lastModifiedBy>
  <cp:revision>0</cp:revision>
  <dcterms:created xsi:type="dcterms:W3CDTF">2024-10-07T13:59:51Z</dcterms:created>
  <dcterms:modified xsi:type="dcterms:W3CDTF">2026-08-28T06:53:09Z</dcterms:modified>
  <dc:language>en-US</dc:language>
</cp:coreProperties>
</file>